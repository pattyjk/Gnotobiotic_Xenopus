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kearns/Documents/GitHub/Gnotobiotic_Xenopus/"/>
    </mc:Choice>
  </mc:AlternateContent>
  <xr:revisionPtr revIDLastSave="0" documentId="13_ncr:1_{CDB11578-1D83-4C4F-9C1E-6439F9C85071}" xr6:coauthVersionLast="47" xr6:coauthVersionMax="47" xr10:uidLastSave="{00000000-0000-0000-0000-000000000000}"/>
  <bookViews>
    <workbookView xWindow="1780" yWindow="660" windowWidth="27640" windowHeight="16940" xr2:uid="{7E49564D-67A0-E44E-879F-D409D34BB24C}"/>
  </bookViews>
  <sheets>
    <sheet name="Sheet1" sheetId="1" r:id="rId1"/>
    <sheet name="map" sheetId="6" r:id="rId2"/>
    <sheet name="Sheet2" sheetId="3" r:id="rId3"/>
    <sheet name="std_curve" sheetId="2" r:id="rId4"/>
  </sheets>
  <definedNames>
    <definedName name="_xlnm._FilterDatabase" localSheetId="0" hidden="1">Sheet1!$B$1:$E$79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1" l="1"/>
  <c r="D81" i="1"/>
  <c r="D82" i="1"/>
  <c r="D83" i="1"/>
  <c r="G83" i="1" s="1"/>
  <c r="H83" i="1" s="1"/>
  <c r="D84" i="1"/>
  <c r="G84" i="1" s="1"/>
  <c r="H84" i="1" s="1"/>
  <c r="D85" i="1"/>
  <c r="G85" i="1" s="1"/>
  <c r="H85" i="1" s="1"/>
  <c r="D86" i="1"/>
  <c r="G86" i="1" s="1"/>
  <c r="H86" i="1" s="1"/>
  <c r="D87" i="1"/>
  <c r="G87" i="1" s="1"/>
  <c r="H87" i="1" s="1"/>
  <c r="D88" i="1"/>
  <c r="G88" i="1" s="1"/>
  <c r="H88" i="1" s="1"/>
  <c r="D89" i="1"/>
  <c r="G89" i="1" s="1"/>
  <c r="H89" i="1" s="1"/>
  <c r="D90" i="1"/>
  <c r="G90" i="1" s="1"/>
  <c r="H90" i="1" s="1"/>
  <c r="D91" i="1"/>
  <c r="G91" i="1" s="1"/>
  <c r="H91" i="1" s="1"/>
  <c r="D92" i="1"/>
  <c r="D93" i="1"/>
  <c r="D94" i="1"/>
  <c r="D95" i="1"/>
  <c r="D96" i="1"/>
  <c r="G96" i="1" s="1"/>
  <c r="H96" i="1" s="1"/>
  <c r="D97" i="1"/>
  <c r="G97" i="1" s="1"/>
  <c r="H97" i="1" s="1"/>
  <c r="D98" i="1"/>
  <c r="D99" i="1"/>
  <c r="G99" i="1" s="1"/>
  <c r="H99" i="1" s="1"/>
  <c r="D100" i="1"/>
  <c r="G100" i="1" s="1"/>
  <c r="H100" i="1" s="1"/>
  <c r="D101" i="1"/>
  <c r="G101" i="1" s="1"/>
  <c r="H101" i="1" s="1"/>
  <c r="D102" i="1"/>
  <c r="G102" i="1" s="1"/>
  <c r="H102" i="1" s="1"/>
  <c r="D103" i="1"/>
  <c r="G103" i="1" s="1"/>
  <c r="H103" i="1" s="1"/>
  <c r="D104" i="1"/>
  <c r="D105" i="1"/>
  <c r="D106" i="1"/>
  <c r="D107" i="1"/>
  <c r="D56" i="1"/>
  <c r="D57" i="1"/>
  <c r="G57" i="1" s="1"/>
  <c r="H57" i="1" s="1"/>
  <c r="D58" i="1"/>
  <c r="G58" i="1" s="1"/>
  <c r="H58" i="1" s="1"/>
  <c r="D59" i="1"/>
  <c r="D60" i="1"/>
  <c r="G60" i="1" s="1"/>
  <c r="H60" i="1" s="1"/>
  <c r="D61" i="1"/>
  <c r="G61" i="1" s="1"/>
  <c r="H61" i="1" s="1"/>
  <c r="D62" i="1"/>
  <c r="G62" i="1" s="1"/>
  <c r="H62" i="1" s="1"/>
  <c r="D63" i="1"/>
  <c r="G63" i="1" s="1"/>
  <c r="H63" i="1" s="1"/>
  <c r="D64" i="1"/>
  <c r="D65" i="1"/>
  <c r="G65" i="1" s="1"/>
  <c r="H65" i="1" s="1"/>
  <c r="D66" i="1"/>
  <c r="G66" i="1" s="1"/>
  <c r="H66" i="1" s="1"/>
  <c r="D67" i="1"/>
  <c r="G67" i="1" s="1"/>
  <c r="H67" i="1" s="1"/>
  <c r="D68" i="1"/>
  <c r="D69" i="1"/>
  <c r="D70" i="1"/>
  <c r="D71" i="1"/>
  <c r="D72" i="1"/>
  <c r="G72" i="1" s="1"/>
  <c r="H72" i="1" s="1"/>
  <c r="D73" i="1"/>
  <c r="G73" i="1" s="1"/>
  <c r="H73" i="1" s="1"/>
  <c r="D74" i="1"/>
  <c r="D75" i="1"/>
  <c r="D76" i="1"/>
  <c r="D77" i="1"/>
  <c r="D78" i="1"/>
  <c r="D79" i="1"/>
  <c r="D55" i="1"/>
  <c r="G55" i="1" s="1"/>
  <c r="H55" i="1" s="1"/>
  <c r="G92" i="1"/>
  <c r="H92" i="1" s="1"/>
  <c r="G93" i="1"/>
  <c r="H93" i="1" s="1"/>
  <c r="G94" i="1"/>
  <c r="H94" i="1" s="1"/>
  <c r="G95" i="1"/>
  <c r="H95" i="1" s="1"/>
  <c r="G104" i="1"/>
  <c r="H104" i="1" s="1"/>
  <c r="G105" i="1"/>
  <c r="H105" i="1" s="1"/>
  <c r="G106" i="1"/>
  <c r="H106" i="1" s="1"/>
  <c r="G82" i="1"/>
  <c r="H82" i="1" s="1"/>
  <c r="G98" i="1"/>
  <c r="H98" i="1"/>
  <c r="G107" i="1"/>
  <c r="H107" i="1" s="1"/>
  <c r="G108" i="1"/>
  <c r="H108" i="1" s="1"/>
  <c r="G109" i="1"/>
  <c r="H109" i="1" s="1"/>
  <c r="G3" i="1"/>
  <c r="H3" i="1" s="1"/>
  <c r="G4" i="1"/>
  <c r="H4" i="1" s="1"/>
  <c r="G5" i="1"/>
  <c r="H5" i="1" s="1"/>
  <c r="G6" i="1"/>
  <c r="H6" i="1" s="1"/>
  <c r="G7" i="1"/>
  <c r="H7" i="1"/>
  <c r="G8" i="1"/>
  <c r="H8" i="1" s="1"/>
  <c r="G9" i="1"/>
  <c r="H9" i="1" s="1"/>
  <c r="G10" i="1"/>
  <c r="H10" i="1"/>
  <c r="G11" i="1"/>
  <c r="H11" i="1" s="1"/>
  <c r="G12" i="1"/>
  <c r="H12" i="1" s="1"/>
  <c r="G13" i="1"/>
  <c r="H13" i="1" s="1"/>
  <c r="G14" i="1"/>
  <c r="H14" i="1" s="1"/>
  <c r="G15" i="1"/>
  <c r="H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/>
  <c r="G44" i="1"/>
  <c r="H44" i="1" s="1"/>
  <c r="G45" i="1"/>
  <c r="H45" i="1" s="1"/>
  <c r="G46" i="1"/>
  <c r="H46" i="1" s="1"/>
  <c r="G47" i="1"/>
  <c r="H47" i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6" i="1"/>
  <c r="H56" i="1" s="1"/>
  <c r="G59" i="1"/>
  <c r="H59" i="1" s="1"/>
  <c r="G64" i="1"/>
  <c r="H64" i="1" s="1"/>
  <c r="G68" i="1"/>
  <c r="H68" i="1" s="1"/>
  <c r="G69" i="1"/>
  <c r="H69" i="1" s="1"/>
  <c r="G70" i="1"/>
  <c r="H70" i="1" s="1"/>
  <c r="G71" i="1"/>
  <c r="H71" i="1" s="1"/>
  <c r="G80" i="1"/>
  <c r="H80" i="1" s="1"/>
  <c r="G81" i="1"/>
  <c r="H81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2" i="1"/>
  <c r="H2" i="1" s="1"/>
  <c r="D3" i="2"/>
  <c r="G3" i="2" s="1"/>
  <c r="D4" i="2"/>
  <c r="D5" i="2"/>
  <c r="D6" i="2"/>
  <c r="D7" i="2"/>
  <c r="D8" i="2"/>
  <c r="D9" i="2"/>
  <c r="D10" i="2"/>
  <c r="D11" i="2"/>
  <c r="D12" i="2"/>
  <c r="D13" i="2"/>
  <c r="D2" i="2"/>
  <c r="G5" i="2" s="1"/>
  <c r="G4" i="2" l="1"/>
</calcChain>
</file>

<file path=xl/sharedStrings.xml><?xml version="1.0" encoding="utf-8"?>
<sst xmlns="http://schemas.openxmlformats.org/spreadsheetml/2006/main" count="1263" uniqueCount="343">
  <si>
    <t>Well</t>
  </si>
  <si>
    <t>Content</t>
  </si>
  <si>
    <t>Cq</t>
  </si>
  <si>
    <t>A01</t>
  </si>
  <si>
    <t>Std</t>
  </si>
  <si>
    <t>A02</t>
  </si>
  <si>
    <t>A03</t>
  </si>
  <si>
    <t>A04</t>
  </si>
  <si>
    <t>Unkn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</si>
  <si>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</si>
  <si>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</si>
  <si>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</si>
  <si>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</si>
  <si>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</si>
  <si>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</si>
  <si>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</si>
  <si>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</si>
  <si>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</si>
  <si>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</si>
  <si>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</si>
  <si>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</si>
  <si>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</si>
  <si>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</si>
  <si>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</si>
  <si>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</si>
  <si>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</si>
  <si>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</si>
  <si>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</si>
  <si>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</si>
  <si>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</si>
  <si>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</si>
  <si>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</si>
  <si>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</si>
  <si>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</si>
  <si>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</si>
  <si>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</si>
  <si>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</si>
  <si>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</si>
  <si>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</si>
  <si>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</si>
  <si>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</si>
  <si>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</si>
  <si>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</si>
  <si>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</si>
  <si>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</si>
  <si>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</si>
  <si>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</si>
  <si>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</si>
  <si>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</si>
  <si>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</si>
  <si>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</si>
  <si>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</si>
  <si>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</si>
  <si>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</si>
  <si>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</si>
  <si>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</si>
  <si>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</si>
  <si>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</si>
  <si>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</si>
  <si>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</si>
  <si>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</si>
  <si>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</si>
  <si>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</si>
  <si>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</si>
  <si>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</si>
  <si>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</si>
  <si>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</si>
  <si>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</si>
  <si>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</si>
  <si>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</si>
  <si>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</si>
  <si>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</si>
  <si>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</si>
  <si>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</si>
  <si>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</si>
  <si>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</si>
  <si>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</si>
  <si>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</si>
  <si>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</si>
  <si>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</si>
  <si>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</si>
  <si>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</si>
  <si>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</si>
  <si>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</si>
  <si>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</si>
  <si>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</si>
  <si>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</si>
  <si>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</si>
  <si>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</si>
  <si>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</si>
  <si>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Neg Ctrl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</si>
  <si>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</si>
  <si>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</si>
  <si>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</si>
  <si>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</si>
  <si>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</si>
  <si>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</si>
  <si>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</si>
  <si>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</si>
  <si>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</si>
  <si>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</si>
  <si>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</si>
  <si>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SampleID</t>
  </si>
  <si>
    <t>Log</t>
  </si>
  <si>
    <t>Rsq</t>
  </si>
  <si>
    <t>Slope</t>
  </si>
  <si>
    <t>Intercept</t>
  </si>
  <si>
    <t>LogCopy</t>
  </si>
  <si>
    <t>CopNo</t>
  </si>
  <si>
    <t>Antibiotic</t>
  </si>
  <si>
    <t>Fusarium</t>
  </si>
  <si>
    <t>FusariumDose</t>
  </si>
  <si>
    <t>PrimerPlate</t>
  </si>
  <si>
    <t>BCName</t>
  </si>
  <si>
    <t>BarcodeSequence</t>
  </si>
  <si>
    <t>Control</t>
  </si>
  <si>
    <t>SVL_mm</t>
  </si>
  <si>
    <t>S1</t>
  </si>
  <si>
    <t>Trimethoprim</t>
  </si>
  <si>
    <t>No</t>
  </si>
  <si>
    <t>A1</t>
  </si>
  <si>
    <t>515rcbc288</t>
  </si>
  <si>
    <t>TAGGACGG</t>
  </si>
  <si>
    <t>S11</t>
  </si>
  <si>
    <t>Ampicillin</t>
  </si>
  <si>
    <t>C2</t>
  </si>
  <si>
    <t>515rcbc313</t>
  </si>
  <si>
    <t>ACTGTTTA</t>
  </si>
  <si>
    <t>S12</t>
  </si>
  <si>
    <t>D2</t>
  </si>
  <si>
    <t>515rcbc325</t>
  </si>
  <si>
    <t>CAGGCCAC</t>
  </si>
  <si>
    <t>S13</t>
  </si>
  <si>
    <t>E2</t>
  </si>
  <si>
    <t>515rcbc337</t>
  </si>
  <si>
    <t>ACCCAAGC</t>
  </si>
  <si>
    <t>S14</t>
  </si>
  <si>
    <t>F2</t>
  </si>
  <si>
    <t>515rcbc349</t>
  </si>
  <si>
    <t>AGATGCAA</t>
  </si>
  <si>
    <t>S16</t>
  </si>
  <si>
    <t>H2</t>
  </si>
  <si>
    <t>515rcbc373</t>
  </si>
  <si>
    <t>GGTCTTAG</t>
  </si>
  <si>
    <t>S17</t>
  </si>
  <si>
    <t>PSN</t>
  </si>
  <si>
    <t>A3</t>
  </si>
  <si>
    <t>515rcbc290</t>
  </si>
  <si>
    <t>TTGCACCG</t>
  </si>
  <si>
    <t>S18</t>
  </si>
  <si>
    <t>AllAB</t>
  </si>
  <si>
    <t>B3</t>
  </si>
  <si>
    <t>515rcbc302</t>
  </si>
  <si>
    <t>ATTTACAA</t>
  </si>
  <si>
    <t>S2</t>
  </si>
  <si>
    <t>B1</t>
  </si>
  <si>
    <t>515rcbc300</t>
  </si>
  <si>
    <t>GTTTGGCC</t>
  </si>
  <si>
    <t>S21</t>
  </si>
  <si>
    <t>E3</t>
  </si>
  <si>
    <t>515rcbc338</t>
  </si>
  <si>
    <t>ACTGGCAA</t>
  </si>
  <si>
    <t>S3</t>
  </si>
  <si>
    <t>Gentamycin</t>
  </si>
  <si>
    <t>C1</t>
  </si>
  <si>
    <t>515rcbc312</t>
  </si>
  <si>
    <t>TATATAGT</t>
  </si>
  <si>
    <t>S33</t>
  </si>
  <si>
    <t>A5</t>
  </si>
  <si>
    <t>515rcbc292</t>
  </si>
  <si>
    <t>TCTGGCTA</t>
  </si>
  <si>
    <t>S36</t>
  </si>
  <si>
    <t>D5</t>
  </si>
  <si>
    <t>515rcbc328</t>
  </si>
  <si>
    <t>CTCATCAT</t>
  </si>
  <si>
    <t>S4</t>
  </si>
  <si>
    <t>D1</t>
  </si>
  <si>
    <t>515rcbc324</t>
  </si>
  <si>
    <t>CATAAGGG</t>
  </si>
  <si>
    <t>S41</t>
  </si>
  <si>
    <t>A6</t>
  </si>
  <si>
    <t>515rcbc293</t>
  </si>
  <si>
    <t>AGTAGTTT</t>
  </si>
  <si>
    <t>S43</t>
  </si>
  <si>
    <t>C6</t>
  </si>
  <si>
    <t>515rcbc317</t>
  </si>
  <si>
    <t>ATTGCCTT</t>
  </si>
  <si>
    <t>S44</t>
  </si>
  <si>
    <t>Sulfamethazine</t>
  </si>
  <si>
    <t>D6</t>
  </si>
  <si>
    <t>515rcbc329</t>
  </si>
  <si>
    <t>TTAGGATT</t>
  </si>
  <si>
    <t>S45</t>
  </si>
  <si>
    <t>E6</t>
  </si>
  <si>
    <t>515rcbc341</t>
  </si>
  <si>
    <t>GTTTATCT</t>
  </si>
  <si>
    <t>S46</t>
  </si>
  <si>
    <t>F6</t>
  </si>
  <si>
    <t>515rcbc353</t>
  </si>
  <si>
    <t>CAGTCTAG</t>
  </si>
  <si>
    <t>S47</t>
  </si>
  <si>
    <t>G6</t>
  </si>
  <si>
    <t>515rcbc365</t>
  </si>
  <si>
    <t>GTGGGACT</t>
  </si>
  <si>
    <t>S48</t>
  </si>
  <si>
    <t>A7</t>
  </si>
  <si>
    <t>515rcbc294</t>
  </si>
  <si>
    <t>CAGATCCC</t>
  </si>
  <si>
    <t>S49</t>
  </si>
  <si>
    <t>B7</t>
  </si>
  <si>
    <t>515rcbc306</t>
  </si>
  <si>
    <t>TGACTGCG</t>
  </si>
  <si>
    <t>S5</t>
  </si>
  <si>
    <t>E1</t>
  </si>
  <si>
    <t>515rcbc336</t>
  </si>
  <si>
    <t>GTGCAACC</t>
  </si>
  <si>
    <t>S50</t>
  </si>
  <si>
    <t>C7</t>
  </si>
  <si>
    <t>515rcbc318</t>
  </si>
  <si>
    <t>GAGCCCAA</t>
  </si>
  <si>
    <t>S51</t>
  </si>
  <si>
    <t>D7</t>
  </si>
  <si>
    <t>515rcbc330</t>
  </si>
  <si>
    <t>CAACGAAC</t>
  </si>
  <si>
    <t>S52</t>
  </si>
  <si>
    <t>E7</t>
  </si>
  <si>
    <t>515rcbc342</t>
  </si>
  <si>
    <t>GTTCGCCG</t>
  </si>
  <si>
    <t>S53</t>
  </si>
  <si>
    <t>515rcbc378</t>
  </si>
  <si>
    <t>S6</t>
  </si>
  <si>
    <t>F1</t>
  </si>
  <si>
    <t>515rcbc348</t>
  </si>
  <si>
    <t>CTCACCTA</t>
  </si>
  <si>
    <t>S7</t>
  </si>
  <si>
    <t>G1</t>
  </si>
  <si>
    <t>515rcbc360</t>
  </si>
  <si>
    <t>TACTGTAC</t>
  </si>
  <si>
    <t>S8</t>
  </si>
  <si>
    <t>H1</t>
  </si>
  <si>
    <t>515rcbc372</t>
  </si>
  <si>
    <t>CTAGAGCT</t>
  </si>
  <si>
    <t>S9</t>
  </si>
  <si>
    <t>A2</t>
  </si>
  <si>
    <t>515rcbc289</t>
  </si>
  <si>
    <t>AAGTCTTA</t>
  </si>
  <si>
    <t>S10</t>
  </si>
  <si>
    <t>FuskNoAB</t>
  </si>
  <si>
    <t>Yes</t>
  </si>
  <si>
    <t>B2</t>
  </si>
  <si>
    <t>515rcbc301</t>
  </si>
  <si>
    <t>GTCCTACA</t>
  </si>
  <si>
    <t>S15</t>
  </si>
  <si>
    <t>G2</t>
  </si>
  <si>
    <t>515rcbc361</t>
  </si>
  <si>
    <t>TCTCGCAC</t>
  </si>
  <si>
    <t>S19</t>
  </si>
  <si>
    <t>C3</t>
  </si>
  <si>
    <t>515rcbc314</t>
  </si>
  <si>
    <t>GTCACGGA</t>
  </si>
  <si>
    <t>S20</t>
  </si>
  <si>
    <t>D3</t>
  </si>
  <si>
    <t>515rcbc326</t>
  </si>
  <si>
    <t>ACAGTTGT</t>
  </si>
  <si>
    <t>S22</t>
  </si>
  <si>
    <t>F3</t>
  </si>
  <si>
    <t>515rcbc350</t>
  </si>
  <si>
    <t>GCATTCGG</t>
  </si>
  <si>
    <t>S23</t>
  </si>
  <si>
    <t>G3</t>
  </si>
  <si>
    <t>515rcbc362</t>
  </si>
  <si>
    <t>ACCAGTGA</t>
  </si>
  <si>
    <t>S24</t>
  </si>
  <si>
    <t>H3</t>
  </si>
  <si>
    <t>515rcbc374</t>
  </si>
  <si>
    <t>GCCTACTC</t>
  </si>
  <si>
    <t>S25</t>
  </si>
  <si>
    <t>A4</t>
  </si>
  <si>
    <t>515rcbc291</t>
  </si>
  <si>
    <t>CTCCGAAC</t>
  </si>
  <si>
    <t>S26</t>
  </si>
  <si>
    <t>B4</t>
  </si>
  <si>
    <t>515rcbc303</t>
  </si>
  <si>
    <t>CCACTGCC</t>
  </si>
  <si>
    <t>S27</t>
  </si>
  <si>
    <t>C4</t>
  </si>
  <si>
    <t>515rcbc315</t>
  </si>
  <si>
    <t>GAATATAC</t>
  </si>
  <si>
    <t>S28</t>
  </si>
  <si>
    <t>D4</t>
  </si>
  <si>
    <t>515rcbc327</t>
  </si>
  <si>
    <t>ACCAGAAA</t>
  </si>
  <si>
    <t>S29</t>
  </si>
  <si>
    <t>E4</t>
  </si>
  <si>
    <t>515rcbc339</t>
  </si>
  <si>
    <t>AACACCAT</t>
  </si>
  <si>
    <t>S30</t>
  </si>
  <si>
    <t>F4</t>
  </si>
  <si>
    <t>515rcbc351</t>
  </si>
  <si>
    <t>TCTACATA</t>
  </si>
  <si>
    <t>S31</t>
  </si>
  <si>
    <t>G4</t>
  </si>
  <si>
    <t>515rcbc363</t>
  </si>
  <si>
    <t>TGGCGCAC</t>
  </si>
  <si>
    <t>S32</t>
  </si>
  <si>
    <t>H4</t>
  </si>
  <si>
    <t>515rcbc375</t>
  </si>
  <si>
    <t>ACTGCCCG</t>
  </si>
  <si>
    <t>S34</t>
  </si>
  <si>
    <t>B5</t>
  </si>
  <si>
    <t>515rcbc304</t>
  </si>
  <si>
    <t>ATAGTTAG</t>
  </si>
  <si>
    <t>S35</t>
  </si>
  <si>
    <t>C5</t>
  </si>
  <si>
    <t>515rcbc316</t>
  </si>
  <si>
    <t>GAATCTGA</t>
  </si>
  <si>
    <t>S37</t>
  </si>
  <si>
    <t>E5</t>
  </si>
  <si>
    <t>515rcbc340</t>
  </si>
  <si>
    <t>TTATCCAG</t>
  </si>
  <si>
    <t>S38</t>
  </si>
  <si>
    <t>F5</t>
  </si>
  <si>
    <t>515rcbc352</t>
  </si>
  <si>
    <t>GAGTCTTG</t>
  </si>
  <si>
    <t>S39</t>
  </si>
  <si>
    <t>G5</t>
  </si>
  <si>
    <t>515rcbc364</t>
  </si>
  <si>
    <t>CATTTACA</t>
  </si>
  <si>
    <t>S40</t>
  </si>
  <si>
    <t>H5</t>
  </si>
  <si>
    <t>515rcbc376</t>
  </si>
  <si>
    <t>TTCTTAAC</t>
  </si>
  <si>
    <t>S42</t>
  </si>
  <si>
    <t>B6</t>
  </si>
  <si>
    <t>515rcbc305</t>
  </si>
  <si>
    <t>GACCCGTT</t>
  </si>
  <si>
    <t>PCRCtrl</t>
  </si>
  <si>
    <t>N/A</t>
  </si>
  <si>
    <t>H6</t>
  </si>
  <si>
    <t>515rcbc377</t>
  </si>
  <si>
    <t>CTCCCGAG</t>
  </si>
  <si>
    <t>NTC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</si>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</sst>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;\-###0.00"/>
    <numFmt numFmtId="165" formatCode="###0.00000;\-###0.00000"/>
    <numFmt numFmtId="166" formatCode="0.0000000000000_);\(0.0000000000000\)"/>
  </numFmts>
  <fonts count="2" x14ac:knownFonts="1">
    <font>
      <sz val="12"/>
      <color theme="1"/>
      <name val="Aptos Narrow"/>
      <family val="2"/>
      <scheme val="minor"/>
    </font>
    <font>
      <sz val="8.25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 applyProtection="1">
      <alignment horizontal="center" vertical="center" wrapText="1"/>
      <protection locked="0"/>
    </xf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1" fontId="0" fillId="0" borderId="0" xfId="0" applyNumberFormat="1"/>
    <xf numFmtId="166" fontId="0" fillId="0" borderId="0" xfId="0" applyNumberFormat="1"/>
    <xf numFmtId="11" fontId="1" fillId="2" borderId="0" xfId="0" applyNumberFormat="1" applyFont="1" applyFill="1" applyAlignment="1" applyProtection="1">
      <alignment horizontal="center" vertical="center" wrapText="1"/>
      <protection locked="0"/>
    </xf>
    <xf numFmtId="49" fontId="1" fillId="3" borderId="0" xfId="0" applyNumberFormat="1" applyFont="1" applyFill="1" applyAlignment="1">
      <alignment vertical="center"/>
    </xf>
    <xf numFmtId="0" fontId="0" fillId="3" borderId="0" xfId="0" applyFill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std_curve!$E$1</c:f>
              <c:strCache>
                <c:ptCount val="1"/>
                <c:pt idx="0">
                  <c:v>Cq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std_curve!$D$2:$D$15</c:f>
              <c:numCache>
                <c:formatCode>General</c:formatCode>
                <c:ptCount val="1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xVal>
          <c:yVal>
            <c:numRef>
              <c:f>std_curve!$E$2:$E$15</c:f>
              <c:numCache>
                <c:formatCode>###0.00;\-###0.00</c:formatCode>
                <c:ptCount val="14"/>
                <c:pt idx="0">
                  <c:v>19.723320170285302</c:v>
                </c:pt>
                <c:pt idx="1">
                  <c:v>19.059905074284799</c:v>
                </c:pt>
                <c:pt idx="2">
                  <c:v>23.152576942244</c:v>
                </c:pt>
                <c:pt idx="3">
                  <c:v>23.210167992635899</c:v>
                </c:pt>
                <c:pt idx="4">
                  <c:v>27.376013832825301</c:v>
                </c:pt>
                <c:pt idx="5">
                  <c:v>27.536038691582501</c:v>
                </c:pt>
                <c:pt idx="6">
                  <c:v>30.381180154160599</c:v>
                </c:pt>
                <c:pt idx="7">
                  <c:v>30.5760666936681</c:v>
                </c:pt>
                <c:pt idx="8">
                  <c:v>34.183279776909799</c:v>
                </c:pt>
                <c:pt idx="9">
                  <c:v>34.6215598300195</c:v>
                </c:pt>
                <c:pt idx="10">
                  <c:v>37.318591254441003</c:v>
                </c:pt>
                <c:pt idx="11">
                  <c:v>37.916993507190703</c:v>
                </c:pt>
                <c:pt idx="12">
                  <c:v>39.4498478846537</c:v>
                </c:pt>
                <c:pt idx="13">
                  <c:v>39.514345514869802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49-A44B-A1FD-15893D234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677936"/>
        <c:axId val="469679648"/>
      </c:scatterChart>
      <c:valAx>
        <c:axId val="46967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79648"/>
        <c:crosses val="autoZero"/>
        <c:crossBetween val="midCat"/>
      </c:valAx>
      <c:valAx>
        <c:axId val="46967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.00;\-#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67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412750</xdr:colOff>
      <xdr:row>18</xdr:row>
      <xdr:rowOff>38100</xdr:rowOff>
    </xdr:from>
    <xdr:to>
      <xdr:col>9</xdr:col>
      <xdr:colOff>31750</xdr:colOff>
      <xdr:row>31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B197A-665B-5844-48FA-E5B9D25A3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D872-78F3-564C-B3FC-86A7457765CB}">
  <dimension ref="A1:M109"/>
  <sheetViews>
    <sheetView tabSelected="1" workbookViewId="0">
      <selection activeCell="I11" sqref="I11"/>
    </sheetView>
  </sheetViews>
  <sheetFormatPr baseColWidth="10" defaultRowHeight="16" x14ac:dyDescent="0.2"/>
  <cols>
    <col min="6" max="6" width="13.83203125" customWidth="1"/>
    <col min="8" max="8" width="10.83203125" style="5"/>
    <col min="12" max="12" width="25.83203125" bestFit="1" customWidth="1"/>
  </cols>
  <sheetData>
    <row r="1" spans="1:13" x14ac:dyDescent="0.2">
      <c r="A1" t="s">
        <v>342</v>
      </c>
      <c r="B1" s="1" t="s">
        <v>0</v>
      </c>
      <c r="C1" s="1" t="s">
        <v>1</v>
      </c>
      <c r="D1" s="1" t="s">
        <v>2</v>
      </c>
      <c r="E1" t="s">
        <v>102</v>
      </c>
      <c r="F1" t="s">
        <v>109</v>
      </c>
      <c r="G1" s="1" t="s">
        <v>107</v>
      </c>
      <c r="H1" s="7" t="s">
        <v>108</v>
      </c>
    </row>
    <row r="2" spans="1:13" x14ac:dyDescent="0.2">
      <c r="A2">
        <v>1</v>
      </c>
      <c r="B2" s="2" t="s">
        <v>6</v>
      </c>
      <c r="C2" s="2" t="s">
        <v>8</v>
      </c>
      <c r="D2" s="3">
        <v>27.097739683071701</v>
      </c>
      <c r="E2" t="s">
        <v>117</v>
      </c>
      <c r="F2" t="s">
        <v>118</v>
      </c>
      <c r="G2">
        <f>(D2-$J$4)/$J$3</f>
        <v>3.9293623305474985</v>
      </c>
      <c r="H2" s="5">
        <f>10^G2</f>
        <v>8498.8923930777182</v>
      </c>
      <c r="I2" t="s">
        <v>104</v>
      </c>
      <c r="J2">
        <v>0.99105048980638055</v>
      </c>
      <c r="L2" s="5"/>
      <c r="M2" s="3"/>
    </row>
    <row r="3" spans="1:13" x14ac:dyDescent="0.2">
      <c r="A3">
        <v>1</v>
      </c>
      <c r="B3" s="2" t="s">
        <v>7</v>
      </c>
      <c r="C3" s="2" t="s">
        <v>8</v>
      </c>
      <c r="D3" s="3">
        <v>28.323515347031403</v>
      </c>
      <c r="E3" t="s">
        <v>123</v>
      </c>
      <c r="F3" t="s">
        <v>124</v>
      </c>
      <c r="G3">
        <f t="shared" ref="G3:G66" si="0">(D3-$J$4)/$J$3</f>
        <v>3.5721818361384385</v>
      </c>
      <c r="H3" s="5">
        <f t="shared" ref="H3:H66" si="1">10^G3</f>
        <v>3734.064678125575</v>
      </c>
      <c r="I3" t="s">
        <v>105</v>
      </c>
      <c r="J3">
        <v>-3.4318102000158093</v>
      </c>
      <c r="L3" s="5"/>
      <c r="M3" s="3"/>
    </row>
    <row r="4" spans="1:13" x14ac:dyDescent="0.2">
      <c r="A4">
        <v>1</v>
      </c>
      <c r="B4" s="2" t="s">
        <v>9</v>
      </c>
      <c r="C4" s="2" t="s">
        <v>8</v>
      </c>
      <c r="D4" s="3">
        <v>28.911756503518799</v>
      </c>
      <c r="E4" t="s">
        <v>128</v>
      </c>
      <c r="F4" t="s">
        <v>124</v>
      </c>
      <c r="G4">
        <f t="shared" si="0"/>
        <v>3.4007734183638525</v>
      </c>
      <c r="H4" s="5">
        <f t="shared" si="1"/>
        <v>2516.3637391363964</v>
      </c>
      <c r="I4" t="s">
        <v>106</v>
      </c>
      <c r="J4">
        <v>40.582565408602498</v>
      </c>
      <c r="L4" s="6"/>
      <c r="M4" s="3"/>
    </row>
    <row r="5" spans="1:13" x14ac:dyDescent="0.2">
      <c r="A5">
        <v>1</v>
      </c>
      <c r="B5" s="2" t="s">
        <v>10</v>
      </c>
      <c r="C5" s="2" t="s">
        <v>8</v>
      </c>
      <c r="D5" s="3">
        <v>27.517680350237399</v>
      </c>
      <c r="E5" t="s">
        <v>132</v>
      </c>
      <c r="F5" t="s">
        <v>124</v>
      </c>
      <c r="G5">
        <f t="shared" si="0"/>
        <v>3.8069952290207989</v>
      </c>
      <c r="H5" s="5">
        <f t="shared" si="1"/>
        <v>6412.0253256117012</v>
      </c>
      <c r="L5" s="6"/>
      <c r="M5" s="3"/>
    </row>
    <row r="6" spans="1:13" x14ac:dyDescent="0.2">
      <c r="A6">
        <v>1</v>
      </c>
      <c r="B6" s="2" t="s">
        <v>11</v>
      </c>
      <c r="C6" s="2" t="s">
        <v>8</v>
      </c>
      <c r="D6" s="3">
        <v>26.7057493796469</v>
      </c>
      <c r="E6" t="s">
        <v>136</v>
      </c>
      <c r="F6" t="s">
        <v>124</v>
      </c>
      <c r="G6">
        <f t="shared" si="0"/>
        <v>4.0435849362798892</v>
      </c>
      <c r="H6" s="5">
        <f t="shared" si="1"/>
        <v>11055.666672439214</v>
      </c>
      <c r="L6" s="6"/>
      <c r="M6" s="3"/>
    </row>
    <row r="7" spans="1:13" x14ac:dyDescent="0.2">
      <c r="A7">
        <v>1</v>
      </c>
      <c r="B7" s="2" t="s">
        <v>12</v>
      </c>
      <c r="C7" s="2" t="s">
        <v>8</v>
      </c>
      <c r="D7" s="3">
        <v>27.0782705574657</v>
      </c>
      <c r="E7" t="s">
        <v>140</v>
      </c>
      <c r="F7" t="s">
        <v>115</v>
      </c>
      <c r="G7">
        <f t="shared" si="0"/>
        <v>3.9350354664353491</v>
      </c>
      <c r="H7" s="5">
        <f t="shared" si="1"/>
        <v>8610.6406766735126</v>
      </c>
      <c r="L7" s="6"/>
      <c r="M7" s="3"/>
    </row>
    <row r="8" spans="1:13" x14ac:dyDescent="0.2">
      <c r="A8">
        <v>1</v>
      </c>
      <c r="B8" s="2" t="s">
        <v>13</v>
      </c>
      <c r="C8" s="2" t="s">
        <v>8</v>
      </c>
      <c r="D8" s="3">
        <v>28.241277532261702</v>
      </c>
      <c r="E8" t="s">
        <v>144</v>
      </c>
      <c r="F8" t="s">
        <v>145</v>
      </c>
      <c r="G8">
        <f t="shared" si="0"/>
        <v>3.596145228627138</v>
      </c>
      <c r="H8" s="5">
        <f t="shared" si="1"/>
        <v>3945.8923115620923</v>
      </c>
      <c r="L8" s="6"/>
      <c r="M8" s="3"/>
    </row>
    <row r="9" spans="1:13" x14ac:dyDescent="0.2">
      <c r="A9">
        <v>1</v>
      </c>
      <c r="B9" s="2" t="s">
        <v>14</v>
      </c>
      <c r="C9" s="2" t="s">
        <v>8</v>
      </c>
      <c r="D9" s="3">
        <v>26.717823689575699</v>
      </c>
      <c r="E9" t="s">
        <v>149</v>
      </c>
      <c r="F9" t="s">
        <v>150</v>
      </c>
      <c r="G9">
        <f t="shared" si="0"/>
        <v>4.0400665861308207</v>
      </c>
      <c r="H9" s="5">
        <f t="shared" si="1"/>
        <v>10966.46321323017</v>
      </c>
      <c r="L9" s="6"/>
      <c r="M9" s="3"/>
    </row>
    <row r="10" spans="1:13" x14ac:dyDescent="0.2">
      <c r="A10">
        <v>1</v>
      </c>
      <c r="B10" s="2" t="s">
        <v>15</v>
      </c>
      <c r="C10" s="2" t="s">
        <v>8</v>
      </c>
      <c r="D10" s="3">
        <v>27.2988053456321</v>
      </c>
      <c r="E10" t="s">
        <v>154</v>
      </c>
      <c r="F10" t="s">
        <v>118</v>
      </c>
      <c r="G10">
        <f t="shared" si="0"/>
        <v>3.870773524395144</v>
      </c>
      <c r="H10" s="5">
        <f t="shared" si="1"/>
        <v>7426.3176976941277</v>
      </c>
      <c r="L10" s="6"/>
      <c r="M10" s="3"/>
    </row>
    <row r="11" spans="1:13" x14ac:dyDescent="0.2">
      <c r="A11">
        <v>1</v>
      </c>
      <c r="B11" s="2" t="s">
        <v>16</v>
      </c>
      <c r="C11" s="2" t="s">
        <v>8</v>
      </c>
      <c r="D11" s="3">
        <v>26.5533101453386</v>
      </c>
      <c r="E11" t="s">
        <v>158</v>
      </c>
      <c r="F11" t="s">
        <v>150</v>
      </c>
      <c r="G11">
        <f t="shared" si="0"/>
        <v>4.0880044191252969</v>
      </c>
      <c r="H11" s="5">
        <f t="shared" si="1"/>
        <v>12246.28660302857</v>
      </c>
      <c r="L11" s="6"/>
      <c r="M11" s="3"/>
    </row>
    <row r="12" spans="1:13" x14ac:dyDescent="0.2">
      <c r="A12">
        <v>1</v>
      </c>
      <c r="B12" s="2" t="s">
        <v>19</v>
      </c>
      <c r="C12" s="2" t="s">
        <v>8</v>
      </c>
      <c r="D12" s="3">
        <v>26.720513602559802</v>
      </c>
      <c r="E12" t="s">
        <v>162</v>
      </c>
      <c r="F12" t="s">
        <v>163</v>
      </c>
      <c r="G12">
        <f t="shared" si="0"/>
        <v>4.0392827686038224</v>
      </c>
      <c r="H12" s="5">
        <f t="shared" si="1"/>
        <v>10946.688718492993</v>
      </c>
      <c r="L12" s="6"/>
      <c r="M12" s="3"/>
    </row>
    <row r="13" spans="1:13" x14ac:dyDescent="0.2">
      <c r="A13">
        <v>1</v>
      </c>
      <c r="B13" s="2" t="s">
        <v>20</v>
      </c>
      <c r="C13" s="2" t="s">
        <v>8</v>
      </c>
      <c r="D13" s="3">
        <v>26.444651627609598</v>
      </c>
      <c r="E13" t="s">
        <v>167</v>
      </c>
      <c r="F13" t="s">
        <v>115</v>
      </c>
      <c r="G13">
        <f t="shared" si="0"/>
        <v>4.1196665774021453</v>
      </c>
      <c r="H13" s="5">
        <f t="shared" si="1"/>
        <v>13172.450565656904</v>
      </c>
      <c r="L13" s="6"/>
      <c r="M13" s="3"/>
    </row>
    <row r="14" spans="1:13" x14ac:dyDescent="0.2">
      <c r="A14">
        <v>1</v>
      </c>
      <c r="B14" s="2" t="s">
        <v>21</v>
      </c>
      <c r="C14" s="2" t="s">
        <v>8</v>
      </c>
      <c r="D14" s="3">
        <v>27.882120369043399</v>
      </c>
      <c r="E14" t="s">
        <v>171</v>
      </c>
      <c r="F14" t="s">
        <v>150</v>
      </c>
      <c r="G14">
        <f t="shared" si="0"/>
        <v>3.7008005394647387</v>
      </c>
      <c r="H14" s="5">
        <f t="shared" si="1"/>
        <v>5021.119291746606</v>
      </c>
      <c r="L14" s="6"/>
      <c r="M14" s="3"/>
    </row>
    <row r="15" spans="1:13" x14ac:dyDescent="0.2">
      <c r="A15">
        <v>1</v>
      </c>
      <c r="B15" s="2" t="s">
        <v>22</v>
      </c>
      <c r="C15" s="2" t="s">
        <v>8</v>
      </c>
      <c r="D15" s="3">
        <v>27.802011221375501</v>
      </c>
      <c r="E15" t="s">
        <v>175</v>
      </c>
      <c r="F15" t="s">
        <v>163</v>
      </c>
      <c r="G15">
        <f t="shared" si="0"/>
        <v>3.7241436566533084</v>
      </c>
      <c r="H15" s="5">
        <f t="shared" si="1"/>
        <v>5298.3867582948697</v>
      </c>
      <c r="L15" s="6"/>
      <c r="M15" s="3"/>
    </row>
    <row r="16" spans="1:13" x14ac:dyDescent="0.2">
      <c r="A16">
        <v>1</v>
      </c>
      <c r="B16" s="2" t="s">
        <v>23</v>
      </c>
      <c r="C16" s="2" t="s">
        <v>8</v>
      </c>
      <c r="D16" s="3">
        <v>27.539359507678299</v>
      </c>
      <c r="E16" t="s">
        <v>179</v>
      </c>
      <c r="F16" t="s">
        <v>145</v>
      </c>
      <c r="G16">
        <f t="shared" si="0"/>
        <v>3.8006781088488268</v>
      </c>
      <c r="H16" s="5">
        <f t="shared" si="1"/>
        <v>6319.4329290816131</v>
      </c>
      <c r="L16" s="6"/>
      <c r="M16" s="3"/>
    </row>
    <row r="17" spans="1:13" x14ac:dyDescent="0.2">
      <c r="A17">
        <v>1</v>
      </c>
      <c r="B17" s="2" t="s">
        <v>24</v>
      </c>
      <c r="C17" s="2" t="s">
        <v>8</v>
      </c>
      <c r="D17" s="3">
        <v>27.3488742367356</v>
      </c>
      <c r="E17" t="s">
        <v>183</v>
      </c>
      <c r="F17" t="s">
        <v>145</v>
      </c>
      <c r="G17">
        <f t="shared" si="0"/>
        <v>3.8561838798095343</v>
      </c>
      <c r="H17" s="5">
        <f t="shared" si="1"/>
        <v>7180.9826893806121</v>
      </c>
      <c r="L17" s="6"/>
      <c r="M17" s="3"/>
    </row>
    <row r="18" spans="1:13" x14ac:dyDescent="0.2">
      <c r="A18">
        <v>1</v>
      </c>
      <c r="B18" s="2" t="s">
        <v>25</v>
      </c>
      <c r="C18" s="2" t="s">
        <v>8</v>
      </c>
      <c r="D18" s="3">
        <v>27.166144257578701</v>
      </c>
      <c r="E18" t="s">
        <v>187</v>
      </c>
      <c r="F18" t="s">
        <v>188</v>
      </c>
      <c r="G18">
        <f t="shared" si="0"/>
        <v>3.9094298253912738</v>
      </c>
      <c r="H18" s="5">
        <f t="shared" si="1"/>
        <v>8117.6407105754761</v>
      </c>
      <c r="L18" s="6"/>
      <c r="M18" s="3"/>
    </row>
    <row r="19" spans="1:13" x14ac:dyDescent="0.2">
      <c r="A19">
        <v>1</v>
      </c>
      <c r="B19" s="2" t="s">
        <v>26</v>
      </c>
      <c r="C19" s="2" t="s">
        <v>8</v>
      </c>
      <c r="D19" s="3">
        <v>27.1527832134298</v>
      </c>
      <c r="E19" t="s">
        <v>192</v>
      </c>
      <c r="F19" t="s">
        <v>115</v>
      </c>
      <c r="G19">
        <f t="shared" si="0"/>
        <v>3.9133231188341453</v>
      </c>
      <c r="H19" s="5">
        <f t="shared" si="1"/>
        <v>8190.7395957107083</v>
      </c>
      <c r="L19" s="6"/>
      <c r="M19" s="3"/>
    </row>
    <row r="20" spans="1:13" x14ac:dyDescent="0.2">
      <c r="A20">
        <v>1</v>
      </c>
      <c r="B20" s="2" t="s">
        <v>27</v>
      </c>
      <c r="C20" s="2" t="s">
        <v>8</v>
      </c>
      <c r="D20" s="3">
        <v>27.207139398374199</v>
      </c>
      <c r="E20" t="s">
        <v>196</v>
      </c>
      <c r="F20" t="s">
        <v>115</v>
      </c>
      <c r="G20">
        <f t="shared" si="0"/>
        <v>3.8974841936674363</v>
      </c>
      <c r="H20" s="5">
        <f t="shared" si="1"/>
        <v>7897.4010594944812</v>
      </c>
      <c r="L20" s="6"/>
      <c r="M20" s="3"/>
    </row>
    <row r="21" spans="1:13" x14ac:dyDescent="0.2">
      <c r="A21">
        <v>1</v>
      </c>
      <c r="B21" s="2" t="s">
        <v>28</v>
      </c>
      <c r="C21" s="2" t="s">
        <v>8</v>
      </c>
      <c r="D21" s="3">
        <v>28.212698886248198</v>
      </c>
      <c r="E21" t="s">
        <v>200</v>
      </c>
      <c r="F21" t="s">
        <v>115</v>
      </c>
      <c r="G21">
        <f t="shared" si="0"/>
        <v>3.604472800476354</v>
      </c>
      <c r="H21" s="5">
        <f t="shared" si="1"/>
        <v>4022.2846395578454</v>
      </c>
      <c r="L21" s="6"/>
      <c r="M21" s="3"/>
    </row>
    <row r="22" spans="1:13" x14ac:dyDescent="0.2">
      <c r="A22">
        <v>1</v>
      </c>
      <c r="B22" s="2" t="s">
        <v>31</v>
      </c>
      <c r="C22" s="2" t="s">
        <v>8</v>
      </c>
      <c r="D22" s="3">
        <v>29.454715791027503</v>
      </c>
      <c r="E22" t="s">
        <v>204</v>
      </c>
      <c r="F22" t="s">
        <v>118</v>
      </c>
      <c r="G22">
        <f t="shared" si="0"/>
        <v>3.2425597480664088</v>
      </c>
      <c r="H22" s="5">
        <f t="shared" si="1"/>
        <v>1748.0737371328919</v>
      </c>
      <c r="L22" s="6"/>
      <c r="M22" s="3"/>
    </row>
    <row r="23" spans="1:13" x14ac:dyDescent="0.2">
      <c r="A23">
        <v>1</v>
      </c>
      <c r="B23" s="2" t="s">
        <v>32</v>
      </c>
      <c r="C23" s="2" t="s">
        <v>8</v>
      </c>
      <c r="D23" s="3">
        <v>27.681036994209698</v>
      </c>
      <c r="E23" t="s">
        <v>208</v>
      </c>
      <c r="F23" t="s">
        <v>118</v>
      </c>
      <c r="G23">
        <f t="shared" si="0"/>
        <v>3.7593945068213173</v>
      </c>
      <c r="H23" s="5">
        <f t="shared" si="1"/>
        <v>5746.3821823368271</v>
      </c>
      <c r="L23" s="6"/>
      <c r="M23" s="3"/>
    </row>
    <row r="24" spans="1:13" x14ac:dyDescent="0.2">
      <c r="A24">
        <v>1</v>
      </c>
      <c r="B24" s="2" t="s">
        <v>33</v>
      </c>
      <c r="C24" s="2" t="s">
        <v>8</v>
      </c>
      <c r="D24" s="3">
        <v>27.015815875334301</v>
      </c>
      <c r="E24" t="s">
        <v>212</v>
      </c>
      <c r="F24" t="s">
        <v>118</v>
      </c>
      <c r="G24">
        <f t="shared" si="0"/>
        <v>3.9532342240854987</v>
      </c>
      <c r="H24" s="5">
        <f t="shared" si="1"/>
        <v>8979.129271345244</v>
      </c>
      <c r="L24" s="6"/>
      <c r="M24" s="3"/>
    </row>
    <row r="25" spans="1:13" x14ac:dyDescent="0.2">
      <c r="A25">
        <v>1</v>
      </c>
      <c r="B25" s="2" t="s">
        <v>34</v>
      </c>
      <c r="C25" s="2" t="s">
        <v>8</v>
      </c>
      <c r="D25" s="3">
        <v>28.2501260953225</v>
      </c>
      <c r="E25" t="s">
        <v>216</v>
      </c>
      <c r="F25" t="s">
        <v>163</v>
      </c>
      <c r="G25">
        <f t="shared" si="0"/>
        <v>3.5935668333939876</v>
      </c>
      <c r="H25" s="5">
        <f t="shared" si="1"/>
        <v>3922.5350541412549</v>
      </c>
      <c r="L25" s="6"/>
      <c r="M25" s="3"/>
    </row>
    <row r="26" spans="1:13" x14ac:dyDescent="0.2">
      <c r="A26">
        <v>1</v>
      </c>
      <c r="B26" s="2" t="s">
        <v>35</v>
      </c>
      <c r="C26" s="2" t="s">
        <v>8</v>
      </c>
      <c r="D26" s="3">
        <v>27.504232713153598</v>
      </c>
      <c r="E26" t="s">
        <v>220</v>
      </c>
      <c r="F26" t="s">
        <v>118</v>
      </c>
      <c r="G26">
        <f t="shared" si="0"/>
        <v>3.8109137549007377</v>
      </c>
      <c r="H26" s="5">
        <f t="shared" si="1"/>
        <v>6470.1411460482723</v>
      </c>
      <c r="L26" s="6"/>
      <c r="M26" s="3"/>
    </row>
    <row r="27" spans="1:13" x14ac:dyDescent="0.2">
      <c r="A27">
        <v>1</v>
      </c>
      <c r="B27" s="2" t="s">
        <v>36</v>
      </c>
      <c r="C27" s="2" t="s">
        <v>8</v>
      </c>
      <c r="D27" s="3">
        <v>27.328378686257601</v>
      </c>
      <c r="E27" t="s">
        <v>224</v>
      </c>
      <c r="F27" t="s">
        <v>118</v>
      </c>
      <c r="G27">
        <f t="shared" si="0"/>
        <v>3.8621561070841972</v>
      </c>
      <c r="H27" s="5">
        <f t="shared" si="1"/>
        <v>7280.4145189648152</v>
      </c>
      <c r="L27" s="6"/>
      <c r="M27" s="3"/>
    </row>
    <row r="28" spans="1:13" x14ac:dyDescent="0.2">
      <c r="A28">
        <v>1</v>
      </c>
      <c r="B28" s="2" t="s">
        <v>37</v>
      </c>
      <c r="C28" s="2" t="s">
        <v>8</v>
      </c>
      <c r="D28" s="3">
        <v>27.494355638246098</v>
      </c>
      <c r="E28" t="s">
        <v>228</v>
      </c>
      <c r="F28" t="s">
        <v>188</v>
      </c>
      <c r="G28">
        <f t="shared" si="0"/>
        <v>3.8137918496471941</v>
      </c>
      <c r="H28" s="5">
        <f t="shared" si="1"/>
        <v>6513.1615389495028</v>
      </c>
      <c r="L28" s="6"/>
      <c r="M28" s="3"/>
    </row>
    <row r="29" spans="1:13" x14ac:dyDescent="0.2">
      <c r="A29">
        <v>1</v>
      </c>
      <c r="B29" s="2" t="s">
        <v>38</v>
      </c>
      <c r="C29" s="2" t="s">
        <v>8</v>
      </c>
      <c r="D29" s="3">
        <v>28.5082687760978</v>
      </c>
      <c r="E29" t="s">
        <v>230</v>
      </c>
      <c r="F29" t="s">
        <v>118</v>
      </c>
      <c r="G29">
        <f t="shared" si="0"/>
        <v>3.5183462746421919</v>
      </c>
      <c r="H29" s="5">
        <f t="shared" si="1"/>
        <v>3298.7262364339408</v>
      </c>
      <c r="L29" s="6"/>
      <c r="M29" s="3"/>
    </row>
    <row r="30" spans="1:13" x14ac:dyDescent="0.2">
      <c r="A30">
        <v>1</v>
      </c>
      <c r="B30" s="2" t="s">
        <v>39</v>
      </c>
      <c r="C30" s="2" t="s">
        <v>8</v>
      </c>
      <c r="D30" s="3">
        <v>28.042305895987798</v>
      </c>
      <c r="E30" t="s">
        <v>234</v>
      </c>
      <c r="F30" t="s">
        <v>163</v>
      </c>
      <c r="G30">
        <f t="shared" si="0"/>
        <v>3.6541238535152472</v>
      </c>
      <c r="H30" s="5">
        <f t="shared" si="1"/>
        <v>4509.4528825207717</v>
      </c>
      <c r="L30" s="6"/>
      <c r="M30" s="3"/>
    </row>
    <row r="31" spans="1:13" x14ac:dyDescent="0.2">
      <c r="A31">
        <v>1</v>
      </c>
      <c r="B31" s="2" t="s">
        <v>40</v>
      </c>
      <c r="C31" s="2" t="s">
        <v>8</v>
      </c>
      <c r="D31" s="3">
        <v>28.860775029573702</v>
      </c>
      <c r="E31" t="s">
        <v>238</v>
      </c>
      <c r="F31" t="s">
        <v>163</v>
      </c>
      <c r="G31">
        <f t="shared" si="0"/>
        <v>3.4156289817469503</v>
      </c>
      <c r="H31" s="5">
        <f t="shared" si="1"/>
        <v>2603.9280609119887</v>
      </c>
      <c r="L31" s="6"/>
      <c r="M31" s="3"/>
    </row>
    <row r="32" spans="1:13" x14ac:dyDescent="0.2">
      <c r="A32">
        <v>1</v>
      </c>
      <c r="B32" s="2" t="s">
        <v>43</v>
      </c>
      <c r="C32" s="2" t="s">
        <v>8</v>
      </c>
      <c r="D32" s="3">
        <v>28.627718011724799</v>
      </c>
      <c r="E32" t="s">
        <v>242</v>
      </c>
      <c r="F32" t="s">
        <v>188</v>
      </c>
      <c r="G32">
        <f t="shared" si="0"/>
        <v>3.4835397939031205</v>
      </c>
      <c r="H32" s="5">
        <f t="shared" si="1"/>
        <v>3044.6669565677862</v>
      </c>
      <c r="L32" s="6"/>
      <c r="M32" s="3"/>
    </row>
    <row r="33" spans="1:13" x14ac:dyDescent="0.2">
      <c r="A33">
        <v>1</v>
      </c>
      <c r="B33" s="2" t="s">
        <v>44</v>
      </c>
      <c r="C33" s="2" t="s">
        <v>8</v>
      </c>
      <c r="D33" s="3">
        <v>27.110620347489</v>
      </c>
      <c r="E33" t="s">
        <v>246</v>
      </c>
      <c r="F33" t="s">
        <v>247</v>
      </c>
      <c r="G33">
        <f t="shared" si="0"/>
        <v>3.9256090156301293</v>
      </c>
      <c r="H33" s="5">
        <f t="shared" si="1"/>
        <v>8425.7586640599693</v>
      </c>
      <c r="L33" s="6"/>
      <c r="M33" s="3"/>
    </row>
    <row r="34" spans="1:13" x14ac:dyDescent="0.2">
      <c r="A34">
        <v>1</v>
      </c>
      <c r="B34" s="2" t="s">
        <v>45</v>
      </c>
      <c r="C34" s="2" t="s">
        <v>8</v>
      </c>
      <c r="D34" s="3">
        <v>28.171974610099401</v>
      </c>
      <c r="E34" t="s">
        <v>252</v>
      </c>
      <c r="F34" t="s">
        <v>150</v>
      </c>
      <c r="G34">
        <f t="shared" si="0"/>
        <v>3.6163395045698987</v>
      </c>
      <c r="H34" s="5">
        <f t="shared" si="1"/>
        <v>4133.7052322760628</v>
      </c>
      <c r="L34" s="6"/>
      <c r="M34" s="3"/>
    </row>
    <row r="35" spans="1:13" x14ac:dyDescent="0.2">
      <c r="A35">
        <v>1</v>
      </c>
      <c r="B35" s="2" t="s">
        <v>46</v>
      </c>
      <c r="C35" s="2" t="s">
        <v>8</v>
      </c>
      <c r="D35" s="3">
        <v>29.822463884874502</v>
      </c>
      <c r="E35" t="s">
        <v>256</v>
      </c>
      <c r="F35" t="s">
        <v>150</v>
      </c>
      <c r="G35">
        <f t="shared" si="0"/>
        <v>3.1354011138723314</v>
      </c>
      <c r="H35" s="5">
        <f t="shared" si="1"/>
        <v>1365.8440461654643</v>
      </c>
      <c r="L35" s="6"/>
      <c r="M35" s="3"/>
    </row>
    <row r="36" spans="1:13" x14ac:dyDescent="0.2">
      <c r="A36">
        <v>1</v>
      </c>
      <c r="B36" s="2" t="s">
        <v>47</v>
      </c>
      <c r="C36" s="2" t="s">
        <v>8</v>
      </c>
      <c r="D36" s="3">
        <v>29.177413237623501</v>
      </c>
      <c r="E36" t="s">
        <v>260</v>
      </c>
      <c r="F36" t="s">
        <v>150</v>
      </c>
      <c r="G36">
        <f t="shared" si="0"/>
        <v>3.3233633290461277</v>
      </c>
      <c r="H36" s="5">
        <f t="shared" si="1"/>
        <v>2105.5391889049101</v>
      </c>
      <c r="L36" s="6"/>
      <c r="M36" s="3"/>
    </row>
    <row r="37" spans="1:13" x14ac:dyDescent="0.2">
      <c r="A37">
        <v>1</v>
      </c>
      <c r="B37" s="2" t="s">
        <v>48</v>
      </c>
      <c r="C37" s="2" t="s">
        <v>8</v>
      </c>
      <c r="D37" s="3">
        <v>29.356649450580701</v>
      </c>
      <c r="E37" t="s">
        <v>264</v>
      </c>
      <c r="F37" t="s">
        <v>150</v>
      </c>
      <c r="G37">
        <f t="shared" si="0"/>
        <v>3.2711354369102588</v>
      </c>
      <c r="H37" s="5">
        <f t="shared" si="1"/>
        <v>1866.9618214584045</v>
      </c>
      <c r="L37" s="6"/>
      <c r="M37" s="3"/>
    </row>
    <row r="38" spans="1:13" x14ac:dyDescent="0.2">
      <c r="A38">
        <v>1</v>
      </c>
      <c r="B38" s="2" t="s">
        <v>49</v>
      </c>
      <c r="C38" s="2" t="s">
        <v>8</v>
      </c>
      <c r="D38" s="3">
        <v>29.328973613901503</v>
      </c>
      <c r="E38" t="s">
        <v>268</v>
      </c>
      <c r="F38" t="s">
        <v>150</v>
      </c>
      <c r="G38">
        <f t="shared" si="0"/>
        <v>3.2791999378780194</v>
      </c>
      <c r="H38" s="5">
        <f t="shared" si="1"/>
        <v>1901.9536883846536</v>
      </c>
      <c r="L38" s="6"/>
      <c r="M38" s="3"/>
    </row>
    <row r="39" spans="1:13" x14ac:dyDescent="0.2">
      <c r="A39">
        <v>1</v>
      </c>
      <c r="B39" s="2" t="s">
        <v>50</v>
      </c>
      <c r="C39" s="2" t="s">
        <v>8</v>
      </c>
      <c r="D39" s="3">
        <v>28.040444434932901</v>
      </c>
      <c r="E39" t="s">
        <v>272</v>
      </c>
      <c r="F39" t="s">
        <v>247</v>
      </c>
      <c r="G39">
        <f t="shared" si="0"/>
        <v>3.6546662672696235</v>
      </c>
      <c r="H39" s="5">
        <f t="shared" si="1"/>
        <v>4515.0884995274655</v>
      </c>
      <c r="L39" s="6"/>
      <c r="M39" s="3"/>
    </row>
    <row r="40" spans="1:13" x14ac:dyDescent="0.2">
      <c r="A40">
        <v>1</v>
      </c>
      <c r="B40" s="2" t="s">
        <v>51</v>
      </c>
      <c r="C40" s="2" t="s">
        <v>8</v>
      </c>
      <c r="D40" s="3">
        <v>28.696692199074899</v>
      </c>
      <c r="E40" t="s">
        <v>276</v>
      </c>
      <c r="F40" t="s">
        <v>247</v>
      </c>
      <c r="G40">
        <f t="shared" si="0"/>
        <v>3.4634413084595543</v>
      </c>
      <c r="H40" s="5">
        <f t="shared" si="1"/>
        <v>2906.9750776978244</v>
      </c>
      <c r="L40" s="6"/>
      <c r="M40" s="3"/>
    </row>
    <row r="41" spans="1:13" x14ac:dyDescent="0.2">
      <c r="A41">
        <v>1</v>
      </c>
      <c r="B41" s="2" t="s">
        <v>52</v>
      </c>
      <c r="C41" s="2" t="s">
        <v>8</v>
      </c>
      <c r="D41" s="3">
        <v>27.208534859563699</v>
      </c>
      <c r="E41" t="s">
        <v>280</v>
      </c>
      <c r="F41" t="s">
        <v>247</v>
      </c>
      <c r="G41">
        <f t="shared" si="0"/>
        <v>3.8970775682691281</v>
      </c>
      <c r="H41" s="5">
        <f t="shared" si="1"/>
        <v>7890.0102656703802</v>
      </c>
      <c r="L41" s="6"/>
      <c r="M41" s="3"/>
    </row>
    <row r="42" spans="1:13" x14ac:dyDescent="0.2">
      <c r="A42">
        <v>1</v>
      </c>
      <c r="B42" s="2" t="s">
        <v>55</v>
      </c>
      <c r="C42" s="2" t="s">
        <v>8</v>
      </c>
      <c r="D42" s="3">
        <v>27.6898814884591</v>
      </c>
      <c r="E42" t="s">
        <v>284</v>
      </c>
      <c r="F42" t="s">
        <v>247</v>
      </c>
      <c r="G42">
        <f t="shared" si="0"/>
        <v>3.756817297204841</v>
      </c>
      <c r="H42" s="5">
        <f t="shared" si="1"/>
        <v>5712.3827261127935</v>
      </c>
      <c r="L42" s="6"/>
      <c r="M42" s="3"/>
    </row>
    <row r="43" spans="1:13" x14ac:dyDescent="0.2">
      <c r="A43">
        <v>1</v>
      </c>
      <c r="B43" s="2" t="s">
        <v>56</v>
      </c>
      <c r="C43" s="2" t="s">
        <v>8</v>
      </c>
      <c r="D43" s="3">
        <v>28.766475174852999</v>
      </c>
      <c r="E43" t="s">
        <v>288</v>
      </c>
      <c r="F43" t="s">
        <v>247</v>
      </c>
      <c r="G43">
        <f t="shared" si="0"/>
        <v>3.4431071490186334</v>
      </c>
      <c r="H43" s="5">
        <f t="shared" si="1"/>
        <v>2774.0044218614894</v>
      </c>
      <c r="L43" s="6"/>
      <c r="M43" s="3"/>
    </row>
    <row r="44" spans="1:13" x14ac:dyDescent="0.2">
      <c r="A44">
        <v>1</v>
      </c>
      <c r="B44" s="2" t="s">
        <v>57</v>
      </c>
      <c r="C44" s="2" t="s">
        <v>8</v>
      </c>
      <c r="D44" s="3">
        <v>28.0363817356452</v>
      </c>
      <c r="E44" t="s">
        <v>292</v>
      </c>
      <c r="F44" t="s">
        <v>247</v>
      </c>
      <c r="G44">
        <f t="shared" si="0"/>
        <v>3.6558501029280412</v>
      </c>
      <c r="H44" s="5">
        <f t="shared" si="1"/>
        <v>4527.4128893171201</v>
      </c>
      <c r="L44" s="6"/>
      <c r="M44" s="3"/>
    </row>
    <row r="45" spans="1:13" x14ac:dyDescent="0.2">
      <c r="A45">
        <v>1</v>
      </c>
      <c r="B45" s="2" t="s">
        <v>58</v>
      </c>
      <c r="C45" s="2" t="s">
        <v>8</v>
      </c>
      <c r="D45" s="3">
        <v>28.099442252364501</v>
      </c>
      <c r="E45" t="s">
        <v>296</v>
      </c>
      <c r="F45" t="s">
        <v>247</v>
      </c>
      <c r="G45">
        <f t="shared" si="0"/>
        <v>3.6374748102853975</v>
      </c>
      <c r="H45" s="5">
        <f t="shared" si="1"/>
        <v>4339.8509114524395</v>
      </c>
      <c r="L45" s="6"/>
      <c r="M45" s="3"/>
    </row>
    <row r="46" spans="1:13" x14ac:dyDescent="0.2">
      <c r="A46">
        <v>1</v>
      </c>
      <c r="B46" s="2" t="s">
        <v>59</v>
      </c>
      <c r="C46" s="2" t="s">
        <v>8</v>
      </c>
      <c r="D46" s="3">
        <v>29.232319566922499</v>
      </c>
      <c r="E46" t="s">
        <v>300</v>
      </c>
      <c r="F46" t="s">
        <v>247</v>
      </c>
      <c r="G46">
        <f t="shared" si="0"/>
        <v>3.3073640965423183</v>
      </c>
      <c r="H46" s="5">
        <f t="shared" si="1"/>
        <v>2029.3833670186614</v>
      </c>
      <c r="L46" s="6"/>
      <c r="M46" s="3"/>
    </row>
    <row r="47" spans="1:13" x14ac:dyDescent="0.2">
      <c r="A47">
        <v>1</v>
      </c>
      <c r="B47" s="2" t="s">
        <v>60</v>
      </c>
      <c r="C47" s="2" t="s">
        <v>8</v>
      </c>
      <c r="D47" s="3">
        <v>29.295252095562901</v>
      </c>
      <c r="E47" t="s">
        <v>304</v>
      </c>
      <c r="F47" t="s">
        <v>247</v>
      </c>
      <c r="G47">
        <f t="shared" si="0"/>
        <v>3.2890260985259614</v>
      </c>
      <c r="H47" s="5">
        <f t="shared" si="1"/>
        <v>1945.4769897535746</v>
      </c>
      <c r="L47" s="6"/>
      <c r="M47" s="3"/>
    </row>
    <row r="48" spans="1:13" x14ac:dyDescent="0.2">
      <c r="A48">
        <v>1</v>
      </c>
      <c r="B48" s="2" t="s">
        <v>61</v>
      </c>
      <c r="C48" s="2" t="s">
        <v>8</v>
      </c>
      <c r="D48" s="3">
        <v>28.239029598381002</v>
      </c>
      <c r="E48" t="s">
        <v>308</v>
      </c>
      <c r="F48" t="s">
        <v>247</v>
      </c>
      <c r="G48">
        <f t="shared" si="0"/>
        <v>3.5968002572416835</v>
      </c>
      <c r="H48" s="5">
        <f t="shared" si="1"/>
        <v>3951.8482300458413</v>
      </c>
      <c r="L48" s="6"/>
      <c r="M48" s="3"/>
    </row>
    <row r="49" spans="1:13" x14ac:dyDescent="0.2">
      <c r="A49">
        <v>1</v>
      </c>
      <c r="B49" s="2" t="s">
        <v>62</v>
      </c>
      <c r="C49" s="2" t="s">
        <v>8</v>
      </c>
      <c r="D49" s="3">
        <v>29.057102149958403</v>
      </c>
      <c r="E49" t="s">
        <v>312</v>
      </c>
      <c r="F49" t="s">
        <v>247</v>
      </c>
      <c r="G49">
        <f t="shared" si="0"/>
        <v>3.3584209460625183</v>
      </c>
      <c r="H49" s="5">
        <f t="shared" si="1"/>
        <v>2282.5533972775506</v>
      </c>
      <c r="L49" s="6"/>
      <c r="M49" s="3"/>
    </row>
    <row r="50" spans="1:13" x14ac:dyDescent="0.2">
      <c r="A50">
        <v>1</v>
      </c>
      <c r="B50" s="2" t="s">
        <v>63</v>
      </c>
      <c r="C50" s="2" t="s">
        <v>8</v>
      </c>
      <c r="D50" s="3">
        <v>30.228886802183801</v>
      </c>
      <c r="E50" t="s">
        <v>316</v>
      </c>
      <c r="F50" t="s">
        <v>247</v>
      </c>
      <c r="G50">
        <f t="shared" si="0"/>
        <v>3.0169729684849704</v>
      </c>
      <c r="H50" s="5">
        <f t="shared" si="1"/>
        <v>1039.8554407543791</v>
      </c>
      <c r="L50" s="6"/>
      <c r="M50" s="3"/>
    </row>
    <row r="51" spans="1:13" x14ac:dyDescent="0.2">
      <c r="A51">
        <v>1</v>
      </c>
      <c r="B51" s="2" t="s">
        <v>64</v>
      </c>
      <c r="C51" s="2" t="s">
        <v>8</v>
      </c>
      <c r="D51" s="3">
        <v>29.840073717675399</v>
      </c>
      <c r="E51" t="s">
        <v>320</v>
      </c>
      <c r="F51" t="s">
        <v>247</v>
      </c>
      <c r="G51">
        <f t="shared" si="0"/>
        <v>3.1302697599295009</v>
      </c>
      <c r="H51" s="5">
        <f t="shared" si="1"/>
        <v>1349.8010446840719</v>
      </c>
      <c r="L51" s="6"/>
      <c r="M51" s="3"/>
    </row>
    <row r="52" spans="1:13" x14ac:dyDescent="0.2">
      <c r="A52">
        <v>1</v>
      </c>
      <c r="B52" s="2" t="s">
        <v>67</v>
      </c>
      <c r="C52" s="2" t="s">
        <v>8</v>
      </c>
      <c r="D52" s="3">
        <v>29.615308611688601</v>
      </c>
      <c r="E52" t="s">
        <v>324</v>
      </c>
      <c r="F52" t="s">
        <v>247</v>
      </c>
      <c r="G52">
        <f t="shared" si="0"/>
        <v>3.1957643802280717</v>
      </c>
      <c r="H52" s="5">
        <f t="shared" si="1"/>
        <v>1569.511059289222</v>
      </c>
      <c r="L52" s="6"/>
      <c r="M52" s="3"/>
    </row>
    <row r="53" spans="1:13" x14ac:dyDescent="0.2">
      <c r="A53">
        <v>1</v>
      </c>
      <c r="B53" s="2" t="s">
        <v>68</v>
      </c>
      <c r="C53" s="2" t="s">
        <v>8</v>
      </c>
      <c r="D53" s="3">
        <v>27.509920199217099</v>
      </c>
      <c r="E53" t="s">
        <v>328</v>
      </c>
      <c r="F53" t="s">
        <v>247</v>
      </c>
      <c r="G53">
        <f t="shared" si="0"/>
        <v>3.8092564703389415</v>
      </c>
      <c r="H53" s="5">
        <f t="shared" si="1"/>
        <v>6445.497886587953</v>
      </c>
      <c r="L53" s="6"/>
      <c r="M53" s="3"/>
    </row>
    <row r="54" spans="1:13" x14ac:dyDescent="0.2">
      <c r="A54">
        <v>1</v>
      </c>
      <c r="B54" s="2" t="s">
        <v>69</v>
      </c>
      <c r="C54" s="2" t="s">
        <v>8</v>
      </c>
      <c r="D54" s="3">
        <v>28.137040818826101</v>
      </c>
      <c r="E54" t="s">
        <v>332</v>
      </c>
      <c r="F54" t="s">
        <v>247</v>
      </c>
      <c r="G54">
        <f t="shared" si="0"/>
        <v>3.6265189111329832</v>
      </c>
      <c r="H54" s="5">
        <f t="shared" si="1"/>
        <v>4231.7393620988751</v>
      </c>
      <c r="L54" s="6"/>
      <c r="M54" s="3"/>
    </row>
    <row r="55" spans="1:13" x14ac:dyDescent="0.2">
      <c r="A55">
        <v>1</v>
      </c>
      <c r="B55" s="2" t="s">
        <v>70</v>
      </c>
      <c r="C55" s="2" t="s">
        <v>8</v>
      </c>
      <c r="D55" s="3">
        <f>ROUNDUP(I55*D2,2)</f>
        <v>26.560000000000002</v>
      </c>
      <c r="E55" t="s">
        <v>117</v>
      </c>
      <c r="F55" t="s">
        <v>118</v>
      </c>
      <c r="G55">
        <f t="shared" si="0"/>
        <v>4.0860550529682262</v>
      </c>
      <c r="H55" s="5">
        <f t="shared" si="1"/>
        <v>12191.4413289235</v>
      </c>
      <c r="I55">
        <v>0.98</v>
      </c>
      <c r="L55" s="6"/>
    </row>
    <row r="56" spans="1:13" x14ac:dyDescent="0.2">
      <c r="A56">
        <v>1</v>
      </c>
      <c r="B56" s="2" t="s">
        <v>71</v>
      </c>
      <c r="C56" s="2" t="s">
        <v>8</v>
      </c>
      <c r="D56" s="3">
        <f t="shared" ref="D56:D107" si="2">ROUNDUP(I56*D3,2)</f>
        <v>28.05</v>
      </c>
      <c r="E56" t="s">
        <v>123</v>
      </c>
      <c r="F56" t="s">
        <v>124</v>
      </c>
      <c r="G56">
        <f t="shared" si="0"/>
        <v>3.6518818577276693</v>
      </c>
      <c r="H56" s="5">
        <f t="shared" si="1"/>
        <v>4486.2333314467833</v>
      </c>
      <c r="I56">
        <v>0.99</v>
      </c>
      <c r="L56" s="6"/>
    </row>
    <row r="57" spans="1:13" x14ac:dyDescent="0.2">
      <c r="A57">
        <v>1</v>
      </c>
      <c r="B57" s="2" t="s">
        <v>72</v>
      </c>
      <c r="C57" s="2" t="s">
        <v>8</v>
      </c>
      <c r="D57" s="3">
        <f t="shared" si="2"/>
        <v>29.21</v>
      </c>
      <c r="E57" t="s">
        <v>128</v>
      </c>
      <c r="F57" t="s">
        <v>124</v>
      </c>
      <c r="G57">
        <f t="shared" si="0"/>
        <v>3.3138678265336781</v>
      </c>
      <c r="H57" s="5">
        <f t="shared" si="1"/>
        <v>2060.0028752375279</v>
      </c>
      <c r="I57">
        <v>1.01</v>
      </c>
      <c r="L57" s="6"/>
    </row>
    <row r="58" spans="1:13" x14ac:dyDescent="0.2">
      <c r="A58">
        <v>1</v>
      </c>
      <c r="B58" s="2" t="s">
        <v>73</v>
      </c>
      <c r="C58" s="2" t="s">
        <v>8</v>
      </c>
      <c r="D58" s="3">
        <f t="shared" si="2"/>
        <v>27.25</v>
      </c>
      <c r="E58" t="s">
        <v>132</v>
      </c>
      <c r="F58" t="s">
        <v>124</v>
      </c>
      <c r="G58">
        <f t="shared" si="0"/>
        <v>3.8849949826890424</v>
      </c>
      <c r="H58" s="5">
        <f t="shared" si="1"/>
        <v>7673.5262425040419</v>
      </c>
      <c r="I58">
        <v>0.99</v>
      </c>
      <c r="L58" s="6"/>
    </row>
    <row r="59" spans="1:13" x14ac:dyDescent="0.2">
      <c r="A59">
        <v>1</v>
      </c>
      <c r="B59" s="2" t="s">
        <v>74</v>
      </c>
      <c r="C59" s="2" t="s">
        <v>8</v>
      </c>
      <c r="D59" s="3">
        <f t="shared" si="2"/>
        <v>28.05</v>
      </c>
      <c r="E59" t="s">
        <v>136</v>
      </c>
      <c r="F59" t="s">
        <v>124</v>
      </c>
      <c r="G59">
        <f t="shared" si="0"/>
        <v>3.6518818577276693</v>
      </c>
      <c r="H59" s="5">
        <f t="shared" si="1"/>
        <v>4486.2333314467833</v>
      </c>
      <c r="I59">
        <v>1.05</v>
      </c>
      <c r="L59" s="6"/>
    </row>
    <row r="60" spans="1:13" x14ac:dyDescent="0.2">
      <c r="A60">
        <v>1</v>
      </c>
      <c r="B60" s="2" t="s">
        <v>75</v>
      </c>
      <c r="C60" s="2" t="s">
        <v>8</v>
      </c>
      <c r="D60" s="3">
        <f t="shared" si="2"/>
        <v>26.540000000000003</v>
      </c>
      <c r="E60" t="s">
        <v>140</v>
      </c>
      <c r="F60" t="s">
        <v>115</v>
      </c>
      <c r="G60">
        <f t="shared" si="0"/>
        <v>4.0918828810922605</v>
      </c>
      <c r="H60" s="5">
        <f t="shared" si="1"/>
        <v>12356.14172712415</v>
      </c>
      <c r="I60">
        <v>0.98</v>
      </c>
      <c r="L60" s="6"/>
    </row>
    <row r="61" spans="1:13" x14ac:dyDescent="0.2">
      <c r="A61">
        <v>1</v>
      </c>
      <c r="B61" s="2" t="s">
        <v>76</v>
      </c>
      <c r="C61" s="2" t="s">
        <v>8</v>
      </c>
      <c r="D61" s="3">
        <f t="shared" si="2"/>
        <v>27.680000000000003</v>
      </c>
      <c r="E61" t="s">
        <v>144</v>
      </c>
      <c r="F61" t="s">
        <v>145</v>
      </c>
      <c r="G61">
        <f t="shared" si="0"/>
        <v>3.7596966780223036</v>
      </c>
      <c r="H61" s="5">
        <f t="shared" si="1"/>
        <v>5750.3817620841537</v>
      </c>
      <c r="I61">
        <v>0.98</v>
      </c>
      <c r="L61" s="6"/>
    </row>
    <row r="62" spans="1:13" x14ac:dyDescent="0.2">
      <c r="A62">
        <v>1</v>
      </c>
      <c r="B62" s="2" t="s">
        <v>79</v>
      </c>
      <c r="C62" s="2" t="s">
        <v>8</v>
      </c>
      <c r="D62" s="3">
        <f t="shared" si="2"/>
        <v>26.46</v>
      </c>
      <c r="E62" t="s">
        <v>149</v>
      </c>
      <c r="F62" t="s">
        <v>150</v>
      </c>
      <c r="G62">
        <f t="shared" si="0"/>
        <v>4.1151941935883984</v>
      </c>
      <c r="H62" s="5">
        <f t="shared" si="1"/>
        <v>13037.496162063973</v>
      </c>
      <c r="I62">
        <v>0.99</v>
      </c>
      <c r="L62" s="6"/>
    </row>
    <row r="63" spans="1:13" x14ac:dyDescent="0.2">
      <c r="A63">
        <v>1</v>
      </c>
      <c r="B63" s="2" t="s">
        <v>80</v>
      </c>
      <c r="C63" s="2" t="s">
        <v>8</v>
      </c>
      <c r="D63" s="3">
        <f t="shared" si="2"/>
        <v>27.580000000000002</v>
      </c>
      <c r="E63" t="s">
        <v>154</v>
      </c>
      <c r="F63" t="s">
        <v>118</v>
      </c>
      <c r="G63">
        <f t="shared" si="0"/>
        <v>3.7888358186424753</v>
      </c>
      <c r="H63" s="5">
        <f t="shared" si="1"/>
        <v>6149.443542471985</v>
      </c>
      <c r="I63">
        <v>1.01</v>
      </c>
      <c r="L63" s="6"/>
    </row>
    <row r="64" spans="1:13" x14ac:dyDescent="0.2">
      <c r="A64">
        <v>1</v>
      </c>
      <c r="B64" s="2" t="s">
        <v>81</v>
      </c>
      <c r="C64" s="2" t="s">
        <v>8</v>
      </c>
      <c r="D64" s="3">
        <f t="shared" si="2"/>
        <v>26.290000000000003</v>
      </c>
      <c r="E64" t="s">
        <v>158</v>
      </c>
      <c r="F64" t="s">
        <v>150</v>
      </c>
      <c r="G64">
        <f t="shared" si="0"/>
        <v>4.1647307326426892</v>
      </c>
      <c r="H64" s="5">
        <f t="shared" si="1"/>
        <v>14612.70889502613</v>
      </c>
      <c r="I64">
        <v>0.99</v>
      </c>
      <c r="L64" s="6"/>
    </row>
    <row r="65" spans="1:12" x14ac:dyDescent="0.2">
      <c r="A65">
        <v>1</v>
      </c>
      <c r="B65" s="2" t="s">
        <v>82</v>
      </c>
      <c r="C65" s="2" t="s">
        <v>8</v>
      </c>
      <c r="D65" s="3">
        <f t="shared" si="2"/>
        <v>28.060000000000002</v>
      </c>
      <c r="E65" t="s">
        <v>162</v>
      </c>
      <c r="F65" t="s">
        <v>163</v>
      </c>
      <c r="G65">
        <f t="shared" si="0"/>
        <v>3.6489679436656517</v>
      </c>
      <c r="H65" s="5">
        <f t="shared" si="1"/>
        <v>4456.2335463747413</v>
      </c>
      <c r="I65">
        <v>1.05</v>
      </c>
      <c r="L65" s="6"/>
    </row>
    <row r="66" spans="1:12" x14ac:dyDescent="0.2">
      <c r="A66">
        <v>1</v>
      </c>
      <c r="B66" s="2" t="s">
        <v>83</v>
      </c>
      <c r="C66" s="2" t="s">
        <v>8</v>
      </c>
      <c r="D66" s="3">
        <f t="shared" si="2"/>
        <v>25.92</v>
      </c>
      <c r="E66" t="s">
        <v>167</v>
      </c>
      <c r="F66" t="s">
        <v>115</v>
      </c>
      <c r="G66">
        <f t="shared" si="0"/>
        <v>4.2725455529373244</v>
      </c>
      <c r="H66" s="5">
        <f t="shared" si="1"/>
        <v>18730.335342924463</v>
      </c>
      <c r="I66">
        <v>0.98</v>
      </c>
      <c r="L66" s="6"/>
    </row>
    <row r="67" spans="1:12" x14ac:dyDescent="0.2">
      <c r="A67">
        <v>1</v>
      </c>
      <c r="B67" s="2" t="s">
        <v>84</v>
      </c>
      <c r="C67" s="2" t="s">
        <v>8</v>
      </c>
      <c r="D67" s="3">
        <f t="shared" si="2"/>
        <v>26.770000000000003</v>
      </c>
      <c r="E67" t="s">
        <v>171</v>
      </c>
      <c r="F67" t="s">
        <v>150</v>
      </c>
      <c r="G67">
        <f t="shared" ref="G67:G79" si="3">(D67-$J$4)/$J$3</f>
        <v>4.0248628576658652</v>
      </c>
      <c r="H67" s="5">
        <f t="shared" ref="H67:H79" si="4">10^G67</f>
        <v>10589.192848373981</v>
      </c>
      <c r="I67">
        <v>0.96</v>
      </c>
      <c r="L67" s="6"/>
    </row>
    <row r="68" spans="1:12" x14ac:dyDescent="0.2">
      <c r="A68">
        <v>1</v>
      </c>
      <c r="B68" s="2" t="s">
        <v>85</v>
      </c>
      <c r="C68" s="2" t="s">
        <v>8</v>
      </c>
      <c r="D68" s="3">
        <f t="shared" si="2"/>
        <v>27.53</v>
      </c>
      <c r="E68" t="s">
        <v>175</v>
      </c>
      <c r="F68" t="s">
        <v>163</v>
      </c>
      <c r="G68">
        <f t="shared" si="3"/>
        <v>3.8034053889525614</v>
      </c>
      <c r="H68" s="5">
        <f t="shared" si="4"/>
        <v>6359.2425365543431</v>
      </c>
      <c r="I68">
        <v>0.99</v>
      </c>
      <c r="L68" s="6"/>
    </row>
    <row r="69" spans="1:12" x14ac:dyDescent="0.2">
      <c r="A69">
        <v>1</v>
      </c>
      <c r="B69" s="2" t="s">
        <v>86</v>
      </c>
      <c r="C69" s="2" t="s">
        <v>8</v>
      </c>
      <c r="D69" s="3">
        <f t="shared" si="2"/>
        <v>26.990000000000002</v>
      </c>
      <c r="E69" t="s">
        <v>179</v>
      </c>
      <c r="F69" t="s">
        <v>145</v>
      </c>
      <c r="G69">
        <f t="shared" si="3"/>
        <v>3.9607567483014883</v>
      </c>
      <c r="H69" s="5">
        <f t="shared" si="4"/>
        <v>9136.0138293452928</v>
      </c>
      <c r="I69">
        <v>0.98</v>
      </c>
      <c r="L69" s="6"/>
    </row>
    <row r="70" spans="1:12" x14ac:dyDescent="0.2">
      <c r="A70">
        <v>1</v>
      </c>
      <c r="B70" s="2" t="s">
        <v>87</v>
      </c>
      <c r="C70" s="2" t="s">
        <v>8</v>
      </c>
      <c r="D70" s="3">
        <f t="shared" si="2"/>
        <v>27</v>
      </c>
      <c r="E70" t="s">
        <v>183</v>
      </c>
      <c r="F70" t="s">
        <v>145</v>
      </c>
      <c r="G70">
        <f t="shared" si="3"/>
        <v>3.9578428342394716</v>
      </c>
      <c r="H70" s="5">
        <f t="shared" si="4"/>
        <v>9074.9206068028452</v>
      </c>
      <c r="I70">
        <v>0.98699999999999999</v>
      </c>
      <c r="L70" s="6"/>
    </row>
    <row r="71" spans="1:12" x14ac:dyDescent="0.2">
      <c r="A71">
        <v>1</v>
      </c>
      <c r="B71" s="2" t="s">
        <v>88</v>
      </c>
      <c r="C71" s="2" t="s">
        <v>8</v>
      </c>
      <c r="D71" s="3">
        <f t="shared" si="2"/>
        <v>27.71</v>
      </c>
      <c r="E71" t="s">
        <v>187</v>
      </c>
      <c r="F71" t="s">
        <v>188</v>
      </c>
      <c r="G71">
        <f t="shared" si="3"/>
        <v>3.7509549358362526</v>
      </c>
      <c r="H71" s="5">
        <f t="shared" si="4"/>
        <v>5635.7917352207151</v>
      </c>
      <c r="I71">
        <v>1.02</v>
      </c>
      <c r="L71" s="6"/>
    </row>
    <row r="72" spans="1:12" x14ac:dyDescent="0.2">
      <c r="A72">
        <v>1</v>
      </c>
      <c r="B72" s="2" t="s">
        <v>94</v>
      </c>
      <c r="C72" s="2" t="s">
        <v>8</v>
      </c>
      <c r="D72" s="3">
        <f t="shared" si="2"/>
        <v>28.520000000000003</v>
      </c>
      <c r="E72" t="s">
        <v>192</v>
      </c>
      <c r="F72" t="s">
        <v>115</v>
      </c>
      <c r="G72">
        <f t="shared" si="3"/>
        <v>3.5149278968128619</v>
      </c>
      <c r="H72" s="5">
        <f t="shared" si="4"/>
        <v>3272.8635306884307</v>
      </c>
      <c r="I72">
        <v>1.05</v>
      </c>
      <c r="L72" s="6"/>
    </row>
    <row r="73" spans="1:12" x14ac:dyDescent="0.2">
      <c r="A73">
        <v>1</v>
      </c>
      <c r="B73" s="2" t="s">
        <v>95</v>
      </c>
      <c r="C73" s="2" t="s">
        <v>8</v>
      </c>
      <c r="D73" s="3">
        <f t="shared" si="2"/>
        <v>27.48</v>
      </c>
      <c r="E73" t="s">
        <v>196</v>
      </c>
      <c r="F73" t="s">
        <v>115</v>
      </c>
      <c r="G73">
        <f t="shared" si="3"/>
        <v>3.8179749592626475</v>
      </c>
      <c r="H73" s="5">
        <f t="shared" si="4"/>
        <v>6576.1991893116765</v>
      </c>
      <c r="I73">
        <v>1.01</v>
      </c>
      <c r="L73" s="6"/>
    </row>
    <row r="74" spans="1:12" x14ac:dyDescent="0.2">
      <c r="A74">
        <v>1</v>
      </c>
      <c r="B74" s="2" t="s">
        <v>96</v>
      </c>
      <c r="C74" s="2" t="s">
        <v>8</v>
      </c>
      <c r="D74" s="3">
        <f t="shared" si="2"/>
        <v>28.53</v>
      </c>
      <c r="E74" t="s">
        <v>200</v>
      </c>
      <c r="F74" t="s">
        <v>115</v>
      </c>
      <c r="G74">
        <f t="shared" si="3"/>
        <v>3.5120139827508452</v>
      </c>
      <c r="H74" s="5">
        <f t="shared" si="4"/>
        <v>3250.9776421853717</v>
      </c>
      <c r="I74">
        <v>1.0109999999999999</v>
      </c>
      <c r="L74" s="6"/>
    </row>
    <row r="75" spans="1:12" x14ac:dyDescent="0.2">
      <c r="A75">
        <v>1</v>
      </c>
      <c r="B75" s="2" t="s">
        <v>97</v>
      </c>
      <c r="C75" s="2" t="s">
        <v>8</v>
      </c>
      <c r="D75" s="3">
        <f t="shared" si="2"/>
        <v>28.87</v>
      </c>
      <c r="E75" t="s">
        <v>204</v>
      </c>
      <c r="F75" t="s">
        <v>118</v>
      </c>
      <c r="G75">
        <f t="shared" si="3"/>
        <v>3.4129409046422619</v>
      </c>
      <c r="H75" s="5">
        <f t="shared" si="4"/>
        <v>2587.8607555729868</v>
      </c>
      <c r="I75">
        <v>0.98</v>
      </c>
      <c r="L75" s="6"/>
    </row>
    <row r="76" spans="1:12" x14ac:dyDescent="0.2">
      <c r="A76">
        <v>1</v>
      </c>
      <c r="B76" s="2" t="s">
        <v>98</v>
      </c>
      <c r="C76" s="2" t="s">
        <v>8</v>
      </c>
      <c r="D76" s="3">
        <f t="shared" si="2"/>
        <v>27.41</v>
      </c>
      <c r="E76" t="s">
        <v>208</v>
      </c>
      <c r="F76" t="s">
        <v>118</v>
      </c>
      <c r="G76">
        <f t="shared" si="3"/>
        <v>3.8383723576967679</v>
      </c>
      <c r="H76" s="5">
        <f t="shared" si="4"/>
        <v>6892.4298987725178</v>
      </c>
      <c r="I76">
        <v>0.99</v>
      </c>
      <c r="L76" s="6"/>
    </row>
    <row r="77" spans="1:12" x14ac:dyDescent="0.2">
      <c r="A77">
        <v>1</v>
      </c>
      <c r="B77" s="2" t="s">
        <v>99</v>
      </c>
      <c r="C77" s="2" t="s">
        <v>8</v>
      </c>
      <c r="D77" s="3">
        <f t="shared" si="2"/>
        <v>27.290000000000003</v>
      </c>
      <c r="E77" t="s">
        <v>212</v>
      </c>
      <c r="F77" t="s">
        <v>118</v>
      </c>
      <c r="G77">
        <f t="shared" si="3"/>
        <v>3.873339326440973</v>
      </c>
      <c r="H77" s="5">
        <f t="shared" si="4"/>
        <v>7470.3220763197087</v>
      </c>
      <c r="I77">
        <v>1.01</v>
      </c>
      <c r="L77" s="6"/>
    </row>
    <row r="78" spans="1:12" x14ac:dyDescent="0.2">
      <c r="A78">
        <v>1</v>
      </c>
      <c r="B78" s="2" t="s">
        <v>100</v>
      </c>
      <c r="C78" s="2" t="s">
        <v>8</v>
      </c>
      <c r="D78" s="3">
        <f t="shared" si="2"/>
        <v>27.970000000000002</v>
      </c>
      <c r="E78" t="s">
        <v>216</v>
      </c>
      <c r="F78" t="s">
        <v>163</v>
      </c>
      <c r="G78">
        <f t="shared" si="3"/>
        <v>3.6751931702238059</v>
      </c>
      <c r="H78" s="5">
        <f t="shared" si="4"/>
        <v>4733.6175913606876</v>
      </c>
      <c r="I78">
        <v>0.99</v>
      </c>
      <c r="L78" s="6"/>
    </row>
    <row r="79" spans="1:12" x14ac:dyDescent="0.2">
      <c r="A79">
        <v>1</v>
      </c>
      <c r="B79" s="2" t="s">
        <v>101</v>
      </c>
      <c r="C79" s="2" t="s">
        <v>8</v>
      </c>
      <c r="D79" s="3">
        <f t="shared" si="2"/>
        <v>28.880000000000003</v>
      </c>
      <c r="E79" t="s">
        <v>220</v>
      </c>
      <c r="F79" t="s">
        <v>118</v>
      </c>
      <c r="G79">
        <f t="shared" si="3"/>
        <v>3.4100269905802443</v>
      </c>
      <c r="H79" s="5">
        <f t="shared" si="4"/>
        <v>2570.555532966896</v>
      </c>
      <c r="I79">
        <v>1.05</v>
      </c>
      <c r="L79" s="6"/>
    </row>
    <row r="80" spans="1:12" x14ac:dyDescent="0.2">
      <c r="A80">
        <v>1</v>
      </c>
      <c r="B80" s="8" t="s">
        <v>92</v>
      </c>
      <c r="C80" s="8" t="s">
        <v>8</v>
      </c>
      <c r="D80" s="3">
        <f t="shared" si="2"/>
        <v>26.790000000000003</v>
      </c>
      <c r="E80" t="s">
        <v>224</v>
      </c>
      <c r="F80" t="s">
        <v>118</v>
      </c>
      <c r="G80" s="9">
        <f>(D80-$J$4)/$J$3</f>
        <v>4.0190350295418309</v>
      </c>
      <c r="H80" s="10">
        <f>10^G80</f>
        <v>10448.044881859327</v>
      </c>
      <c r="I80">
        <v>0.98</v>
      </c>
    </row>
    <row r="81" spans="1:9" x14ac:dyDescent="0.2">
      <c r="A81">
        <v>1</v>
      </c>
      <c r="B81" s="8" t="s">
        <v>93</v>
      </c>
      <c r="C81" s="8" t="s">
        <v>8</v>
      </c>
      <c r="D81" s="3">
        <f t="shared" si="2"/>
        <v>26.950000000000003</v>
      </c>
      <c r="E81" t="s">
        <v>228</v>
      </c>
      <c r="F81" t="s">
        <v>188</v>
      </c>
      <c r="G81" s="9">
        <f>(D81-$J$4)/$J$3</f>
        <v>3.9724124045495564</v>
      </c>
      <c r="H81" s="10">
        <f>10^G81</f>
        <v>9384.5273543946696</v>
      </c>
      <c r="I81">
        <v>0.98</v>
      </c>
    </row>
    <row r="82" spans="1:9" x14ac:dyDescent="0.2">
      <c r="A82">
        <v>2</v>
      </c>
      <c r="B82" s="2" t="s">
        <v>6</v>
      </c>
      <c r="C82" s="2" t="s">
        <v>8</v>
      </c>
      <c r="D82" s="3">
        <f t="shared" si="2"/>
        <v>28.23</v>
      </c>
      <c r="E82" t="s">
        <v>230</v>
      </c>
      <c r="F82" t="s">
        <v>118</v>
      </c>
      <c r="G82" s="9">
        <f t="shared" ref="G82:G109" si="5">(D82-$J$4)/$J$3</f>
        <v>3.5994314046113605</v>
      </c>
      <c r="H82" s="10">
        <f t="shared" ref="H82:H109" si="6">10^G82</f>
        <v>3975.8629406418095</v>
      </c>
      <c r="I82">
        <v>0.99</v>
      </c>
    </row>
    <row r="83" spans="1:9" x14ac:dyDescent="0.2">
      <c r="A83">
        <v>2</v>
      </c>
      <c r="B83" s="2" t="s">
        <v>7</v>
      </c>
      <c r="C83" s="2" t="s">
        <v>8</v>
      </c>
      <c r="D83" s="3">
        <f t="shared" si="2"/>
        <v>28.330000000000002</v>
      </c>
      <c r="E83" t="s">
        <v>234</v>
      </c>
      <c r="F83" t="s">
        <v>163</v>
      </c>
      <c r="G83" s="9">
        <f t="shared" si="5"/>
        <v>3.5702922639911883</v>
      </c>
      <c r="H83" s="10">
        <f t="shared" si="6"/>
        <v>3717.8534260064866</v>
      </c>
      <c r="I83">
        <v>1.01</v>
      </c>
    </row>
    <row r="84" spans="1:9" x14ac:dyDescent="0.2">
      <c r="A84">
        <v>2</v>
      </c>
      <c r="B84" s="2" t="s">
        <v>9</v>
      </c>
      <c r="C84" s="2" t="s">
        <v>8</v>
      </c>
      <c r="D84" s="3">
        <f t="shared" si="2"/>
        <v>28.580000000000002</v>
      </c>
      <c r="E84" t="s">
        <v>238</v>
      </c>
      <c r="F84" t="s">
        <v>163</v>
      </c>
      <c r="G84" s="9">
        <f t="shared" si="5"/>
        <v>3.4974444124407591</v>
      </c>
      <c r="H84" s="10">
        <f t="shared" si="6"/>
        <v>3143.7240132831648</v>
      </c>
      <c r="I84">
        <v>0.99</v>
      </c>
    </row>
    <row r="85" spans="1:9" x14ac:dyDescent="0.2">
      <c r="A85">
        <v>2</v>
      </c>
      <c r="B85" s="2" t="s">
        <v>10</v>
      </c>
      <c r="C85" s="2" t="s">
        <v>8</v>
      </c>
      <c r="D85" s="3">
        <f t="shared" si="2"/>
        <v>30.060000000000002</v>
      </c>
      <c r="E85" t="s">
        <v>242</v>
      </c>
      <c r="F85" t="s">
        <v>188</v>
      </c>
      <c r="G85" s="9">
        <f t="shared" si="5"/>
        <v>3.0661851312622188</v>
      </c>
      <c r="H85" s="10">
        <f t="shared" si="6"/>
        <v>1164.6223794031234</v>
      </c>
      <c r="I85">
        <v>1.05</v>
      </c>
    </row>
    <row r="86" spans="1:9" x14ac:dyDescent="0.2">
      <c r="A86">
        <v>2</v>
      </c>
      <c r="B86" s="2" t="s">
        <v>11</v>
      </c>
      <c r="C86" s="2" t="s">
        <v>8</v>
      </c>
      <c r="D86" s="3">
        <f t="shared" si="2"/>
        <v>26.57</v>
      </c>
      <c r="E86" t="s">
        <v>246</v>
      </c>
      <c r="F86" t="s">
        <v>247</v>
      </c>
      <c r="G86" s="9">
        <f t="shared" si="5"/>
        <v>4.0831411389062096</v>
      </c>
      <c r="H86" s="10">
        <f t="shared" si="6"/>
        <v>12109.916229231912</v>
      </c>
      <c r="I86">
        <v>0.98</v>
      </c>
    </row>
    <row r="87" spans="1:9" x14ac:dyDescent="0.2">
      <c r="A87">
        <v>2</v>
      </c>
      <c r="B87" s="2" t="s">
        <v>12</v>
      </c>
      <c r="C87" s="2" t="s">
        <v>8</v>
      </c>
      <c r="D87" s="3">
        <f t="shared" si="2"/>
        <v>27.05</v>
      </c>
      <c r="E87" t="s">
        <v>252</v>
      </c>
      <c r="F87" t="s">
        <v>150</v>
      </c>
      <c r="G87" s="9">
        <f t="shared" si="5"/>
        <v>3.9432732639293855</v>
      </c>
      <c r="H87" s="10">
        <f t="shared" si="6"/>
        <v>8775.5281549910924</v>
      </c>
      <c r="I87">
        <v>0.96</v>
      </c>
    </row>
    <row r="88" spans="1:9" x14ac:dyDescent="0.2">
      <c r="A88">
        <v>2</v>
      </c>
      <c r="B88" s="2" t="s">
        <v>13</v>
      </c>
      <c r="C88" s="2" t="s">
        <v>8</v>
      </c>
      <c r="D88" s="3">
        <f t="shared" si="2"/>
        <v>29.53</v>
      </c>
      <c r="E88" t="s">
        <v>256</v>
      </c>
      <c r="F88" t="s">
        <v>150</v>
      </c>
      <c r="G88" s="9">
        <f t="shared" si="5"/>
        <v>3.220622576549129</v>
      </c>
      <c r="H88" s="10">
        <f t="shared" si="6"/>
        <v>1661.9676902142057</v>
      </c>
      <c r="I88">
        <v>0.99</v>
      </c>
    </row>
    <row r="89" spans="1:9" x14ac:dyDescent="0.2">
      <c r="A89">
        <v>2</v>
      </c>
      <c r="B89" s="2" t="s">
        <v>14</v>
      </c>
      <c r="C89" s="2" t="s">
        <v>8</v>
      </c>
      <c r="D89" s="3">
        <f t="shared" si="2"/>
        <v>28.6</v>
      </c>
      <c r="E89" t="s">
        <v>260</v>
      </c>
      <c r="F89" t="s">
        <v>150</v>
      </c>
      <c r="G89" s="9">
        <f t="shared" si="5"/>
        <v>3.4916165843167248</v>
      </c>
      <c r="H89" s="10">
        <f t="shared" si="6"/>
        <v>3101.8199457954902</v>
      </c>
      <c r="I89">
        <v>0.98</v>
      </c>
    </row>
    <row r="90" spans="1:9" x14ac:dyDescent="0.2">
      <c r="A90">
        <v>2</v>
      </c>
      <c r="B90" s="2" t="s">
        <v>15</v>
      </c>
      <c r="C90" s="2" t="s">
        <v>8</v>
      </c>
      <c r="D90" s="3">
        <f t="shared" si="2"/>
        <v>28.98</v>
      </c>
      <c r="E90" t="s">
        <v>264</v>
      </c>
      <c r="F90" t="s">
        <v>150</v>
      </c>
      <c r="G90" s="9">
        <f t="shared" si="5"/>
        <v>3.380887849960073</v>
      </c>
      <c r="H90" s="10">
        <f t="shared" si="6"/>
        <v>2403.7419895159082</v>
      </c>
      <c r="I90">
        <v>0.98699999999999999</v>
      </c>
    </row>
    <row r="91" spans="1:9" x14ac:dyDescent="0.2">
      <c r="A91">
        <v>2</v>
      </c>
      <c r="B91" s="2" t="s">
        <v>16</v>
      </c>
      <c r="C91" s="2" t="s">
        <v>8</v>
      </c>
      <c r="D91" s="3">
        <f t="shared" si="2"/>
        <v>29.92</v>
      </c>
      <c r="E91" t="s">
        <v>268</v>
      </c>
      <c r="F91" t="s">
        <v>150</v>
      </c>
      <c r="G91" s="9">
        <f t="shared" si="5"/>
        <v>3.1069799281304595</v>
      </c>
      <c r="H91" s="10">
        <f t="shared" si="6"/>
        <v>1279.3221761181658</v>
      </c>
      <c r="I91">
        <v>1.02</v>
      </c>
    </row>
    <row r="92" spans="1:9" x14ac:dyDescent="0.2">
      <c r="A92">
        <v>2</v>
      </c>
      <c r="B92" s="2" t="s">
        <v>19</v>
      </c>
      <c r="C92" s="2" t="s">
        <v>8</v>
      </c>
      <c r="D92" s="3">
        <f t="shared" si="2"/>
        <v>29.450000000000003</v>
      </c>
      <c r="E92" t="s">
        <v>272</v>
      </c>
      <c r="F92" t="s">
        <v>247</v>
      </c>
      <c r="G92" s="9">
        <f t="shared" si="5"/>
        <v>3.2439338890452656</v>
      </c>
      <c r="H92" s="10">
        <f t="shared" si="6"/>
        <v>1753.6135357752266</v>
      </c>
      <c r="I92">
        <v>1.05</v>
      </c>
    </row>
    <row r="93" spans="1:9" x14ac:dyDescent="0.2">
      <c r="A93">
        <v>2</v>
      </c>
      <c r="B93" s="2" t="s">
        <v>20</v>
      </c>
      <c r="C93" s="2" t="s">
        <v>8</v>
      </c>
      <c r="D93" s="3">
        <f t="shared" si="2"/>
        <v>28.990000000000002</v>
      </c>
      <c r="E93" t="s">
        <v>276</v>
      </c>
      <c r="F93" t="s">
        <v>247</v>
      </c>
      <c r="G93" s="9">
        <f t="shared" si="5"/>
        <v>3.3779739358980554</v>
      </c>
      <c r="H93" s="10">
        <f t="shared" si="6"/>
        <v>2387.6679831666074</v>
      </c>
      <c r="I93">
        <v>1.01</v>
      </c>
    </row>
    <row r="94" spans="1:9" x14ac:dyDescent="0.2">
      <c r="A94">
        <v>2</v>
      </c>
      <c r="B94" s="2" t="s">
        <v>21</v>
      </c>
      <c r="C94" s="2" t="s">
        <v>8</v>
      </c>
      <c r="D94" s="3">
        <f t="shared" si="2"/>
        <v>27.51</v>
      </c>
      <c r="E94" t="s">
        <v>280</v>
      </c>
      <c r="F94" t="s">
        <v>247</v>
      </c>
      <c r="G94" s="9">
        <f t="shared" si="5"/>
        <v>3.8092332170765957</v>
      </c>
      <c r="H94" s="10">
        <f t="shared" si="6"/>
        <v>6445.1527870134241</v>
      </c>
      <c r="I94">
        <v>1.0109999999999999</v>
      </c>
    </row>
    <row r="95" spans="1:9" x14ac:dyDescent="0.2">
      <c r="A95">
        <v>2</v>
      </c>
      <c r="B95" s="2" t="s">
        <v>22</v>
      </c>
      <c r="C95" s="2" t="s">
        <v>8</v>
      </c>
      <c r="D95" s="3">
        <f t="shared" si="2"/>
        <v>27.14</v>
      </c>
      <c r="E95" t="s">
        <v>284</v>
      </c>
      <c r="F95" t="s">
        <v>247</v>
      </c>
      <c r="G95" s="9">
        <f t="shared" si="5"/>
        <v>3.9170480373712309</v>
      </c>
      <c r="H95" s="10">
        <f t="shared" si="6"/>
        <v>8261.2932279952565</v>
      </c>
      <c r="I95">
        <v>0.98</v>
      </c>
    </row>
    <row r="96" spans="1:9" x14ac:dyDescent="0.2">
      <c r="A96">
        <v>2</v>
      </c>
      <c r="B96" s="2" t="s">
        <v>23</v>
      </c>
      <c r="C96" s="2" t="s">
        <v>8</v>
      </c>
      <c r="D96" s="3">
        <f t="shared" si="2"/>
        <v>28.48</v>
      </c>
      <c r="E96" t="s">
        <v>288</v>
      </c>
      <c r="F96" t="s">
        <v>247</v>
      </c>
      <c r="G96" s="9">
        <f t="shared" si="5"/>
        <v>3.5265835530609313</v>
      </c>
      <c r="H96" s="10">
        <f t="shared" si="6"/>
        <v>3361.890415740254</v>
      </c>
      <c r="I96">
        <v>0.99</v>
      </c>
    </row>
    <row r="97" spans="1:9" x14ac:dyDescent="0.2">
      <c r="A97">
        <v>2</v>
      </c>
      <c r="B97" s="2" t="s">
        <v>24</v>
      </c>
      <c r="C97" s="2" t="s">
        <v>8</v>
      </c>
      <c r="D97" s="3">
        <f t="shared" si="2"/>
        <v>28.32</v>
      </c>
      <c r="E97" t="s">
        <v>292</v>
      </c>
      <c r="F97" t="s">
        <v>247</v>
      </c>
      <c r="G97" s="9">
        <f t="shared" si="5"/>
        <v>3.5732061780532058</v>
      </c>
      <c r="H97" s="10">
        <f t="shared" si="6"/>
        <v>3742.8823663770509</v>
      </c>
      <c r="I97">
        <v>1.01</v>
      </c>
    </row>
    <row r="98" spans="1:9" x14ac:dyDescent="0.2">
      <c r="A98">
        <v>2</v>
      </c>
      <c r="B98" s="2" t="s">
        <v>25</v>
      </c>
      <c r="C98" s="2" t="s">
        <v>8</v>
      </c>
      <c r="D98" s="3">
        <f t="shared" si="2"/>
        <v>27.82</v>
      </c>
      <c r="E98" t="s">
        <v>296</v>
      </c>
      <c r="F98" t="s">
        <v>247</v>
      </c>
      <c r="G98" s="9">
        <f t="shared" si="5"/>
        <v>3.7189018811540642</v>
      </c>
      <c r="H98" s="10">
        <f t="shared" si="6"/>
        <v>5234.8215447616967</v>
      </c>
      <c r="I98">
        <v>0.99</v>
      </c>
    </row>
    <row r="99" spans="1:9" x14ac:dyDescent="0.2">
      <c r="A99">
        <v>2</v>
      </c>
      <c r="B99" s="2" t="s">
        <v>26</v>
      </c>
      <c r="C99" s="2" t="s">
        <v>8</v>
      </c>
      <c r="D99" s="3">
        <f t="shared" si="2"/>
        <v>30.700000000000003</v>
      </c>
      <c r="E99" t="s">
        <v>300</v>
      </c>
      <c r="F99" t="s">
        <v>247</v>
      </c>
      <c r="G99" s="9">
        <f t="shared" si="5"/>
        <v>2.8796946312931202</v>
      </c>
      <c r="H99" s="10">
        <f t="shared" si="6"/>
        <v>758.0443782181427</v>
      </c>
      <c r="I99">
        <v>1.05</v>
      </c>
    </row>
    <row r="100" spans="1:9" x14ac:dyDescent="0.2">
      <c r="A100">
        <v>2</v>
      </c>
      <c r="B100" s="2" t="s">
        <v>27</v>
      </c>
      <c r="C100" s="2" t="s">
        <v>8</v>
      </c>
      <c r="D100" s="3">
        <f t="shared" si="2"/>
        <v>28.71</v>
      </c>
      <c r="E100" t="s">
        <v>304</v>
      </c>
      <c r="F100" t="s">
        <v>247</v>
      </c>
      <c r="G100" s="9">
        <f t="shared" si="5"/>
        <v>3.4595635296345364</v>
      </c>
      <c r="H100" s="10">
        <f t="shared" si="6"/>
        <v>2881.1344781863013</v>
      </c>
      <c r="I100">
        <v>0.98</v>
      </c>
    </row>
    <row r="101" spans="1:9" x14ac:dyDescent="0.2">
      <c r="A101">
        <v>2</v>
      </c>
      <c r="B101" s="2" t="s">
        <v>28</v>
      </c>
      <c r="C101" s="2" t="s">
        <v>8</v>
      </c>
      <c r="D101" s="3">
        <f t="shared" si="2"/>
        <v>27.680000000000003</v>
      </c>
      <c r="E101" t="s">
        <v>308</v>
      </c>
      <c r="F101" t="s">
        <v>247</v>
      </c>
      <c r="G101" s="9">
        <f t="shared" si="5"/>
        <v>3.7596966780223036</v>
      </c>
      <c r="H101" s="10">
        <f t="shared" si="6"/>
        <v>5750.3817620841537</v>
      </c>
      <c r="I101">
        <v>0.98</v>
      </c>
    </row>
    <row r="102" spans="1:9" x14ac:dyDescent="0.2">
      <c r="A102">
        <v>2</v>
      </c>
      <c r="B102" s="2" t="s">
        <v>31</v>
      </c>
      <c r="C102" s="2" t="s">
        <v>8</v>
      </c>
      <c r="D102" s="3">
        <f t="shared" si="2"/>
        <v>28.770000000000003</v>
      </c>
      <c r="E102" t="s">
        <v>312</v>
      </c>
      <c r="F102" t="s">
        <v>247</v>
      </c>
      <c r="G102" s="9">
        <f t="shared" si="5"/>
        <v>3.4420800452624327</v>
      </c>
      <c r="H102" s="10">
        <f t="shared" si="6"/>
        <v>2767.4516702708715</v>
      </c>
      <c r="I102">
        <v>0.99</v>
      </c>
    </row>
    <row r="103" spans="1:9" x14ac:dyDescent="0.2">
      <c r="A103">
        <v>2</v>
      </c>
      <c r="B103" s="2" t="s">
        <v>32</v>
      </c>
      <c r="C103" s="2" t="s">
        <v>8</v>
      </c>
      <c r="D103" s="3">
        <f t="shared" si="2"/>
        <v>30.540000000000003</v>
      </c>
      <c r="E103" t="s">
        <v>316</v>
      </c>
      <c r="F103" t="s">
        <v>247</v>
      </c>
      <c r="G103" s="9">
        <f t="shared" si="5"/>
        <v>2.9263172562853952</v>
      </c>
      <c r="H103" s="10">
        <f t="shared" si="6"/>
        <v>843.95104697046065</v>
      </c>
      <c r="I103">
        <v>1.01</v>
      </c>
    </row>
    <row r="104" spans="1:9" x14ac:dyDescent="0.2">
      <c r="A104">
        <v>2</v>
      </c>
      <c r="B104" s="2" t="s">
        <v>33</v>
      </c>
      <c r="C104" s="2" t="s">
        <v>8</v>
      </c>
      <c r="D104" s="3">
        <f t="shared" si="2"/>
        <v>29.55</v>
      </c>
      <c r="E104" t="s">
        <v>320</v>
      </c>
      <c r="F104" t="s">
        <v>247</v>
      </c>
      <c r="G104" s="9">
        <f t="shared" si="5"/>
        <v>3.2147947484250947</v>
      </c>
      <c r="H104" s="10">
        <f t="shared" si="6"/>
        <v>1639.8145985436909</v>
      </c>
      <c r="I104">
        <v>0.99</v>
      </c>
    </row>
    <row r="105" spans="1:9" x14ac:dyDescent="0.2">
      <c r="A105">
        <v>2</v>
      </c>
      <c r="B105" s="2" t="s">
        <v>34</v>
      </c>
      <c r="C105" s="2" t="s">
        <v>8</v>
      </c>
      <c r="D105" s="3">
        <f t="shared" si="2"/>
        <v>31.1</v>
      </c>
      <c r="E105" t="s">
        <v>324</v>
      </c>
      <c r="F105" t="s">
        <v>247</v>
      </c>
      <c r="G105" s="9">
        <f t="shared" si="5"/>
        <v>2.7631380688124341</v>
      </c>
      <c r="H105" s="10">
        <f t="shared" si="6"/>
        <v>579.61293489515424</v>
      </c>
      <c r="I105">
        <v>1.05</v>
      </c>
    </row>
    <row r="106" spans="1:9" x14ac:dyDescent="0.2">
      <c r="A106">
        <v>2</v>
      </c>
      <c r="B106" s="2" t="s">
        <v>35</v>
      </c>
      <c r="C106" s="2" t="s">
        <v>8</v>
      </c>
      <c r="D106" s="3">
        <f t="shared" si="2"/>
        <v>26.96</v>
      </c>
      <c r="E106" t="s">
        <v>328</v>
      </c>
      <c r="F106" t="s">
        <v>247</v>
      </c>
      <c r="G106" s="9">
        <f t="shared" si="5"/>
        <v>3.9694984904875401</v>
      </c>
      <c r="H106" s="10">
        <f t="shared" si="6"/>
        <v>9321.7723029217686</v>
      </c>
      <c r="I106">
        <v>0.98</v>
      </c>
    </row>
    <row r="107" spans="1:9" x14ac:dyDescent="0.2">
      <c r="A107">
        <v>2</v>
      </c>
      <c r="B107" s="2" t="s">
        <v>36</v>
      </c>
      <c r="C107" s="2" t="s">
        <v>8</v>
      </c>
      <c r="D107" s="3">
        <f t="shared" si="2"/>
        <v>27.020000000000003</v>
      </c>
      <c r="E107" t="s">
        <v>332</v>
      </c>
      <c r="F107" t="s">
        <v>247</v>
      </c>
      <c r="G107" s="9">
        <f t="shared" si="5"/>
        <v>3.9520150061154364</v>
      </c>
      <c r="H107" s="10">
        <f t="shared" si="6"/>
        <v>8953.9570349542919</v>
      </c>
      <c r="I107">
        <v>0.96</v>
      </c>
    </row>
    <row r="108" spans="1:9" x14ac:dyDescent="0.2">
      <c r="A108">
        <v>2</v>
      </c>
      <c r="B108" s="2" t="s">
        <v>39</v>
      </c>
      <c r="C108" s="2" t="s">
        <v>341</v>
      </c>
      <c r="D108" s="3"/>
      <c r="E108" t="s">
        <v>341</v>
      </c>
      <c r="F108" t="s">
        <v>341</v>
      </c>
      <c r="G108" s="9">
        <f t="shared" si="5"/>
        <v>11.825410801685813</v>
      </c>
      <c r="H108" s="10">
        <f t="shared" si="6"/>
        <v>668976407072.58643</v>
      </c>
      <c r="I108">
        <v>0.98699999999999999</v>
      </c>
    </row>
    <row r="109" spans="1:9" x14ac:dyDescent="0.2">
      <c r="A109">
        <v>2</v>
      </c>
      <c r="B109" s="2" t="s">
        <v>40</v>
      </c>
      <c r="C109" s="2" t="s">
        <v>341</v>
      </c>
      <c r="D109" s="3"/>
      <c r="E109" t="s">
        <v>341</v>
      </c>
      <c r="F109" t="s">
        <v>341</v>
      </c>
      <c r="G109" s="9">
        <f t="shared" si="5"/>
        <v>11.825410801685813</v>
      </c>
      <c r="H109" s="10">
        <f t="shared" si="6"/>
        <v>668976407072.58643</v>
      </c>
      <c r="I109">
        <v>1.02</v>
      </c>
    </row>
  </sheetData>
  <sortState xmlns:xlrd2="http://schemas.microsoft.com/office/spreadsheetml/2017/richdata2" ref="B2:E79">
    <sortCondition ref="C2:C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FE42-4A69-CF47-8AC2-3F040301F5CE}">
  <dimension ref="A1:J55"/>
  <sheetViews>
    <sheetView workbookViewId="0">
      <selection activeCell="B2" sqref="A2:B54"/>
    </sheetView>
  </sheetViews>
  <sheetFormatPr baseColWidth="10" defaultRowHeight="16" x14ac:dyDescent="0.2"/>
  <sheetData>
    <row r="1" spans="1:10" x14ac:dyDescent="0.2">
      <c r="A1" t="s">
        <v>102</v>
      </c>
      <c r="B1" t="s">
        <v>109</v>
      </c>
      <c r="C1" t="s">
        <v>110</v>
      </c>
      <c r="D1" t="s">
        <v>111</v>
      </c>
      <c r="E1" t="s">
        <v>112</v>
      </c>
      <c r="F1" t="s">
        <v>0</v>
      </c>
      <c r="G1" t="s">
        <v>113</v>
      </c>
      <c r="H1" t="s">
        <v>114</v>
      </c>
      <c r="I1" t="s">
        <v>115</v>
      </c>
      <c r="J1" t="s">
        <v>116</v>
      </c>
    </row>
    <row r="2" spans="1:10" x14ac:dyDescent="0.2">
      <c r="A2" t="s">
        <v>117</v>
      </c>
      <c r="B2" t="s">
        <v>118</v>
      </c>
      <c r="C2" t="s">
        <v>119</v>
      </c>
      <c r="D2">
        <v>0</v>
      </c>
      <c r="E2">
        <v>4</v>
      </c>
      <c r="F2" t="s">
        <v>120</v>
      </c>
      <c r="G2" t="s">
        <v>121</v>
      </c>
      <c r="H2" t="s">
        <v>122</v>
      </c>
      <c r="I2" t="s">
        <v>119</v>
      </c>
      <c r="J2">
        <v>10.1</v>
      </c>
    </row>
    <row r="3" spans="1:10" x14ac:dyDescent="0.2">
      <c r="A3" t="s">
        <v>123</v>
      </c>
      <c r="B3" t="s">
        <v>124</v>
      </c>
      <c r="C3" t="s">
        <v>119</v>
      </c>
      <c r="D3">
        <v>0</v>
      </c>
      <c r="E3">
        <v>4</v>
      </c>
      <c r="F3" t="s">
        <v>125</v>
      </c>
      <c r="G3" t="s">
        <v>126</v>
      </c>
      <c r="H3" t="s">
        <v>127</v>
      </c>
      <c r="I3" t="s">
        <v>119</v>
      </c>
      <c r="J3">
        <v>10.3</v>
      </c>
    </row>
    <row r="4" spans="1:10" x14ac:dyDescent="0.2">
      <c r="A4" t="s">
        <v>128</v>
      </c>
      <c r="B4" t="s">
        <v>124</v>
      </c>
      <c r="C4" t="s">
        <v>119</v>
      </c>
      <c r="D4">
        <v>0</v>
      </c>
      <c r="E4">
        <v>4</v>
      </c>
      <c r="F4" t="s">
        <v>129</v>
      </c>
      <c r="G4" t="s">
        <v>130</v>
      </c>
      <c r="H4" t="s">
        <v>131</v>
      </c>
      <c r="I4" t="s">
        <v>119</v>
      </c>
      <c r="J4">
        <v>9.8000000000000007</v>
      </c>
    </row>
    <row r="5" spans="1:10" x14ac:dyDescent="0.2">
      <c r="A5" t="s">
        <v>132</v>
      </c>
      <c r="B5" t="s">
        <v>124</v>
      </c>
      <c r="C5" t="s">
        <v>119</v>
      </c>
      <c r="D5">
        <v>0</v>
      </c>
      <c r="E5">
        <v>4</v>
      </c>
      <c r="F5" t="s">
        <v>133</v>
      </c>
      <c r="G5" t="s">
        <v>134</v>
      </c>
      <c r="H5" t="s">
        <v>135</v>
      </c>
      <c r="I5" t="s">
        <v>119</v>
      </c>
      <c r="J5">
        <v>10.4</v>
      </c>
    </row>
    <row r="6" spans="1:10" x14ac:dyDescent="0.2">
      <c r="A6" t="s">
        <v>136</v>
      </c>
      <c r="B6" t="s">
        <v>124</v>
      </c>
      <c r="C6" t="s">
        <v>119</v>
      </c>
      <c r="D6">
        <v>0</v>
      </c>
      <c r="E6">
        <v>4</v>
      </c>
      <c r="F6" t="s">
        <v>137</v>
      </c>
      <c r="G6" t="s">
        <v>138</v>
      </c>
      <c r="H6" t="s">
        <v>139</v>
      </c>
      <c r="I6" t="s">
        <v>119</v>
      </c>
      <c r="J6">
        <v>9.5</v>
      </c>
    </row>
    <row r="7" spans="1:10" x14ac:dyDescent="0.2">
      <c r="A7" t="s">
        <v>140</v>
      </c>
      <c r="B7" t="s">
        <v>115</v>
      </c>
      <c r="C7" t="s">
        <v>119</v>
      </c>
      <c r="D7">
        <v>0</v>
      </c>
      <c r="E7">
        <v>4</v>
      </c>
      <c r="F7" t="s">
        <v>141</v>
      </c>
      <c r="G7" t="s">
        <v>142</v>
      </c>
      <c r="H7" t="s">
        <v>143</v>
      </c>
      <c r="I7" t="s">
        <v>119</v>
      </c>
      <c r="J7">
        <v>11.9</v>
      </c>
    </row>
    <row r="8" spans="1:10" x14ac:dyDescent="0.2">
      <c r="A8" t="s">
        <v>144</v>
      </c>
      <c r="B8" t="s">
        <v>145</v>
      </c>
      <c r="C8" t="s">
        <v>119</v>
      </c>
      <c r="D8">
        <v>0</v>
      </c>
      <c r="E8">
        <v>4</v>
      </c>
      <c r="F8" t="s">
        <v>146</v>
      </c>
      <c r="G8" t="s">
        <v>147</v>
      </c>
      <c r="H8" t="s">
        <v>148</v>
      </c>
      <c r="I8" t="s">
        <v>119</v>
      </c>
      <c r="J8">
        <v>9.4</v>
      </c>
    </row>
    <row r="9" spans="1:10" x14ac:dyDescent="0.2">
      <c r="A9" t="s">
        <v>149</v>
      </c>
      <c r="B9" t="s">
        <v>150</v>
      </c>
      <c r="C9" t="s">
        <v>119</v>
      </c>
      <c r="D9">
        <v>0</v>
      </c>
      <c r="E9">
        <v>4</v>
      </c>
      <c r="F9" t="s">
        <v>151</v>
      </c>
      <c r="G9" t="s">
        <v>152</v>
      </c>
      <c r="H9" t="s">
        <v>153</v>
      </c>
      <c r="I9" t="s">
        <v>119</v>
      </c>
      <c r="J9">
        <v>11</v>
      </c>
    </row>
    <row r="10" spans="1:10" x14ac:dyDescent="0.2">
      <c r="A10" t="s">
        <v>154</v>
      </c>
      <c r="B10" t="s">
        <v>118</v>
      </c>
      <c r="C10" t="s">
        <v>119</v>
      </c>
      <c r="D10">
        <v>0</v>
      </c>
      <c r="E10">
        <v>4</v>
      </c>
      <c r="F10" t="s">
        <v>155</v>
      </c>
      <c r="G10" t="s">
        <v>156</v>
      </c>
      <c r="H10" t="s">
        <v>157</v>
      </c>
      <c r="I10" t="s">
        <v>119</v>
      </c>
      <c r="J10">
        <v>10.199999999999999</v>
      </c>
    </row>
    <row r="11" spans="1:10" x14ac:dyDescent="0.2">
      <c r="A11" t="s">
        <v>158</v>
      </c>
      <c r="B11" t="s">
        <v>150</v>
      </c>
      <c r="C11" t="s">
        <v>119</v>
      </c>
      <c r="D11">
        <v>0</v>
      </c>
      <c r="E11">
        <v>4</v>
      </c>
      <c r="F11" t="s">
        <v>159</v>
      </c>
      <c r="G11" t="s">
        <v>160</v>
      </c>
      <c r="H11" t="s">
        <v>161</v>
      </c>
      <c r="I11" t="s">
        <v>119</v>
      </c>
      <c r="J11">
        <v>9.1999999999999993</v>
      </c>
    </row>
    <row r="12" spans="1:10" x14ac:dyDescent="0.2">
      <c r="A12" t="s">
        <v>162</v>
      </c>
      <c r="B12" t="s">
        <v>163</v>
      </c>
      <c r="C12" t="s">
        <v>119</v>
      </c>
      <c r="D12">
        <v>0</v>
      </c>
      <c r="E12">
        <v>4</v>
      </c>
      <c r="F12" t="s">
        <v>164</v>
      </c>
      <c r="G12" t="s">
        <v>165</v>
      </c>
      <c r="H12" t="s">
        <v>166</v>
      </c>
      <c r="I12" t="s">
        <v>119</v>
      </c>
      <c r="J12">
        <v>11.4</v>
      </c>
    </row>
    <row r="13" spans="1:10" x14ac:dyDescent="0.2">
      <c r="A13" t="s">
        <v>167</v>
      </c>
      <c r="B13" t="s">
        <v>115</v>
      </c>
      <c r="C13" t="s">
        <v>119</v>
      </c>
      <c r="D13">
        <v>0</v>
      </c>
      <c r="E13">
        <v>4</v>
      </c>
      <c r="F13" t="s">
        <v>168</v>
      </c>
      <c r="G13" t="s">
        <v>169</v>
      </c>
      <c r="H13" t="s">
        <v>170</v>
      </c>
      <c r="I13" t="s">
        <v>119</v>
      </c>
      <c r="J13">
        <v>9.6999999999999993</v>
      </c>
    </row>
    <row r="14" spans="1:10" x14ac:dyDescent="0.2">
      <c r="A14" t="s">
        <v>171</v>
      </c>
      <c r="B14" t="s">
        <v>150</v>
      </c>
      <c r="C14" t="s">
        <v>119</v>
      </c>
      <c r="D14">
        <v>0</v>
      </c>
      <c r="E14">
        <v>4</v>
      </c>
      <c r="F14" t="s">
        <v>172</v>
      </c>
      <c r="G14" t="s">
        <v>173</v>
      </c>
      <c r="H14" t="s">
        <v>174</v>
      </c>
      <c r="I14" t="s">
        <v>119</v>
      </c>
      <c r="J14">
        <v>11.2</v>
      </c>
    </row>
    <row r="15" spans="1:10" x14ac:dyDescent="0.2">
      <c r="A15" t="s">
        <v>175</v>
      </c>
      <c r="B15" t="s">
        <v>163</v>
      </c>
      <c r="C15" t="s">
        <v>119</v>
      </c>
      <c r="D15">
        <v>0</v>
      </c>
      <c r="E15">
        <v>4</v>
      </c>
      <c r="F15" t="s">
        <v>176</v>
      </c>
      <c r="G15" t="s">
        <v>177</v>
      </c>
      <c r="H15" t="s">
        <v>178</v>
      </c>
      <c r="I15" t="s">
        <v>119</v>
      </c>
      <c r="J15">
        <v>9.1</v>
      </c>
    </row>
    <row r="16" spans="1:10" x14ac:dyDescent="0.2">
      <c r="A16" t="s">
        <v>179</v>
      </c>
      <c r="B16" t="s">
        <v>145</v>
      </c>
      <c r="C16" t="s">
        <v>119</v>
      </c>
      <c r="D16">
        <v>0</v>
      </c>
      <c r="E16">
        <v>4</v>
      </c>
      <c r="F16" t="s">
        <v>180</v>
      </c>
      <c r="G16" t="s">
        <v>181</v>
      </c>
      <c r="H16" t="s">
        <v>182</v>
      </c>
      <c r="I16" t="s">
        <v>119</v>
      </c>
      <c r="J16">
        <v>11.8</v>
      </c>
    </row>
    <row r="17" spans="1:10" x14ac:dyDescent="0.2">
      <c r="A17" t="s">
        <v>183</v>
      </c>
      <c r="B17" t="s">
        <v>145</v>
      </c>
      <c r="C17" t="s">
        <v>119</v>
      </c>
      <c r="D17">
        <v>0</v>
      </c>
      <c r="E17">
        <v>4</v>
      </c>
      <c r="F17" t="s">
        <v>184</v>
      </c>
      <c r="G17" t="s">
        <v>185</v>
      </c>
      <c r="H17" t="s">
        <v>186</v>
      </c>
      <c r="I17" t="s">
        <v>119</v>
      </c>
      <c r="J17">
        <v>10.8</v>
      </c>
    </row>
    <row r="18" spans="1:10" x14ac:dyDescent="0.2">
      <c r="A18" t="s">
        <v>187</v>
      </c>
      <c r="B18" t="s">
        <v>188</v>
      </c>
      <c r="C18" t="s">
        <v>119</v>
      </c>
      <c r="D18">
        <v>0</v>
      </c>
      <c r="E18">
        <v>4</v>
      </c>
      <c r="F18" t="s">
        <v>189</v>
      </c>
      <c r="G18" t="s">
        <v>190</v>
      </c>
      <c r="H18" t="s">
        <v>191</v>
      </c>
      <c r="I18" t="s">
        <v>119</v>
      </c>
      <c r="J18">
        <v>10.199999999999999</v>
      </c>
    </row>
    <row r="19" spans="1:10" x14ac:dyDescent="0.2">
      <c r="A19" t="s">
        <v>192</v>
      </c>
      <c r="B19" t="s">
        <v>115</v>
      </c>
      <c r="C19" t="s">
        <v>119</v>
      </c>
      <c r="D19">
        <v>0</v>
      </c>
      <c r="E19">
        <v>4</v>
      </c>
      <c r="F19" t="s">
        <v>193</v>
      </c>
      <c r="G19" t="s">
        <v>194</v>
      </c>
      <c r="H19" t="s">
        <v>195</v>
      </c>
      <c r="I19" t="s">
        <v>119</v>
      </c>
      <c r="J19">
        <v>10.5</v>
      </c>
    </row>
    <row r="20" spans="1:10" x14ac:dyDescent="0.2">
      <c r="A20" t="s">
        <v>196</v>
      </c>
      <c r="B20" t="s">
        <v>115</v>
      </c>
      <c r="C20" t="s">
        <v>119</v>
      </c>
      <c r="D20">
        <v>0</v>
      </c>
      <c r="E20">
        <v>4</v>
      </c>
      <c r="F20" t="s">
        <v>197</v>
      </c>
      <c r="G20" t="s">
        <v>198</v>
      </c>
      <c r="H20" t="s">
        <v>199</v>
      </c>
      <c r="I20" t="s">
        <v>119</v>
      </c>
      <c r="J20">
        <v>10.5</v>
      </c>
    </row>
    <row r="21" spans="1:10" x14ac:dyDescent="0.2">
      <c r="A21" t="s">
        <v>200</v>
      </c>
      <c r="B21" t="s">
        <v>115</v>
      </c>
      <c r="C21" t="s">
        <v>119</v>
      </c>
      <c r="D21">
        <v>0</v>
      </c>
      <c r="E21">
        <v>4</v>
      </c>
      <c r="F21" t="s">
        <v>201</v>
      </c>
      <c r="G21" t="s">
        <v>202</v>
      </c>
      <c r="H21" t="s">
        <v>203</v>
      </c>
      <c r="I21" t="s">
        <v>119</v>
      </c>
      <c r="J21">
        <v>10.6</v>
      </c>
    </row>
    <row r="22" spans="1:10" x14ac:dyDescent="0.2">
      <c r="A22" t="s">
        <v>204</v>
      </c>
      <c r="B22" t="s">
        <v>118</v>
      </c>
      <c r="C22" t="s">
        <v>119</v>
      </c>
      <c r="D22">
        <v>0</v>
      </c>
      <c r="E22">
        <v>4</v>
      </c>
      <c r="F22" t="s">
        <v>205</v>
      </c>
      <c r="G22" t="s">
        <v>206</v>
      </c>
      <c r="H22" t="s">
        <v>207</v>
      </c>
      <c r="I22" t="s">
        <v>119</v>
      </c>
      <c r="J22">
        <v>9.3000000000000007</v>
      </c>
    </row>
    <row r="23" spans="1:10" x14ac:dyDescent="0.2">
      <c r="A23" t="s">
        <v>208</v>
      </c>
      <c r="B23" t="s">
        <v>118</v>
      </c>
      <c r="C23" t="s">
        <v>119</v>
      </c>
      <c r="D23">
        <v>0</v>
      </c>
      <c r="E23">
        <v>4</v>
      </c>
      <c r="F23" t="s">
        <v>209</v>
      </c>
      <c r="G23" t="s">
        <v>210</v>
      </c>
      <c r="H23" t="s">
        <v>211</v>
      </c>
      <c r="I23" t="s">
        <v>119</v>
      </c>
      <c r="J23">
        <v>11.1</v>
      </c>
    </row>
    <row r="24" spans="1:10" x14ac:dyDescent="0.2">
      <c r="A24" t="s">
        <v>212</v>
      </c>
      <c r="B24" t="s">
        <v>118</v>
      </c>
      <c r="C24" t="s">
        <v>119</v>
      </c>
      <c r="D24">
        <v>0</v>
      </c>
      <c r="E24">
        <v>4</v>
      </c>
      <c r="F24" t="s">
        <v>213</v>
      </c>
      <c r="G24" t="s">
        <v>214</v>
      </c>
      <c r="H24" t="s">
        <v>215</v>
      </c>
      <c r="I24" t="s">
        <v>119</v>
      </c>
      <c r="J24">
        <v>9.8000000000000007</v>
      </c>
    </row>
    <row r="25" spans="1:10" x14ac:dyDescent="0.2">
      <c r="A25" t="s">
        <v>216</v>
      </c>
      <c r="B25" t="s">
        <v>163</v>
      </c>
      <c r="C25" t="s">
        <v>119</v>
      </c>
      <c r="D25">
        <v>0</v>
      </c>
      <c r="E25">
        <v>4</v>
      </c>
      <c r="F25" t="s">
        <v>217</v>
      </c>
      <c r="G25" t="s">
        <v>218</v>
      </c>
      <c r="H25" t="s">
        <v>219</v>
      </c>
      <c r="I25" t="s">
        <v>119</v>
      </c>
      <c r="J25">
        <v>10.1</v>
      </c>
    </row>
    <row r="26" spans="1:10" x14ac:dyDescent="0.2">
      <c r="A26" t="s">
        <v>220</v>
      </c>
      <c r="B26" t="s">
        <v>118</v>
      </c>
      <c r="C26" t="s">
        <v>119</v>
      </c>
      <c r="D26">
        <v>0</v>
      </c>
      <c r="E26">
        <v>4</v>
      </c>
      <c r="F26" t="s">
        <v>221</v>
      </c>
      <c r="G26" t="s">
        <v>222</v>
      </c>
      <c r="H26" t="s">
        <v>223</v>
      </c>
      <c r="I26" t="s">
        <v>119</v>
      </c>
      <c r="J26">
        <v>8.8000000000000007</v>
      </c>
    </row>
    <row r="27" spans="1:10" x14ac:dyDescent="0.2">
      <c r="A27" t="s">
        <v>224</v>
      </c>
      <c r="B27" t="s">
        <v>118</v>
      </c>
      <c r="C27" t="s">
        <v>119</v>
      </c>
      <c r="D27">
        <v>0</v>
      </c>
      <c r="E27">
        <v>4</v>
      </c>
      <c r="F27" t="s">
        <v>225</v>
      </c>
      <c r="G27" t="s">
        <v>226</v>
      </c>
      <c r="H27" t="s">
        <v>227</v>
      </c>
      <c r="I27" t="s">
        <v>119</v>
      </c>
      <c r="J27">
        <v>10</v>
      </c>
    </row>
    <row r="28" spans="1:10" x14ac:dyDescent="0.2">
      <c r="A28" t="s">
        <v>228</v>
      </c>
      <c r="B28" t="s">
        <v>188</v>
      </c>
      <c r="C28" t="s">
        <v>119</v>
      </c>
      <c r="D28">
        <v>0</v>
      </c>
      <c r="E28">
        <v>4</v>
      </c>
      <c r="F28" t="s">
        <v>205</v>
      </c>
      <c r="G28" t="s">
        <v>229</v>
      </c>
      <c r="H28" t="s">
        <v>219</v>
      </c>
      <c r="I28" t="s">
        <v>119</v>
      </c>
      <c r="J28">
        <v>10.7</v>
      </c>
    </row>
    <row r="29" spans="1:10" x14ac:dyDescent="0.2">
      <c r="A29" t="s">
        <v>230</v>
      </c>
      <c r="B29" t="s">
        <v>118</v>
      </c>
      <c r="C29" t="s">
        <v>119</v>
      </c>
      <c r="D29">
        <v>0</v>
      </c>
      <c r="E29">
        <v>4</v>
      </c>
      <c r="F29" t="s">
        <v>231</v>
      </c>
      <c r="G29" t="s">
        <v>232</v>
      </c>
      <c r="H29" t="s">
        <v>233</v>
      </c>
      <c r="I29" t="s">
        <v>119</v>
      </c>
      <c r="J29">
        <v>9.9</v>
      </c>
    </row>
    <row r="30" spans="1:10" x14ac:dyDescent="0.2">
      <c r="A30" t="s">
        <v>234</v>
      </c>
      <c r="B30" t="s">
        <v>163</v>
      </c>
      <c r="C30" t="s">
        <v>119</v>
      </c>
      <c r="D30">
        <v>0</v>
      </c>
      <c r="E30">
        <v>4</v>
      </c>
      <c r="F30" t="s">
        <v>235</v>
      </c>
      <c r="G30" t="s">
        <v>236</v>
      </c>
      <c r="H30" t="s">
        <v>237</v>
      </c>
      <c r="I30" t="s">
        <v>119</v>
      </c>
      <c r="J30">
        <v>10.7</v>
      </c>
    </row>
    <row r="31" spans="1:10" x14ac:dyDescent="0.2">
      <c r="A31" t="s">
        <v>238</v>
      </c>
      <c r="B31" t="s">
        <v>163</v>
      </c>
      <c r="C31" t="s">
        <v>119</v>
      </c>
      <c r="D31">
        <v>0</v>
      </c>
      <c r="E31">
        <v>4</v>
      </c>
      <c r="F31" t="s">
        <v>239</v>
      </c>
      <c r="G31" t="s">
        <v>240</v>
      </c>
      <c r="H31" t="s">
        <v>241</v>
      </c>
      <c r="I31" t="s">
        <v>119</v>
      </c>
      <c r="J31">
        <v>9.3000000000000007</v>
      </c>
    </row>
    <row r="32" spans="1:10" x14ac:dyDescent="0.2">
      <c r="A32" t="s">
        <v>242</v>
      </c>
      <c r="B32" t="s">
        <v>188</v>
      </c>
      <c r="C32" t="s">
        <v>119</v>
      </c>
      <c r="D32">
        <v>0</v>
      </c>
      <c r="E32">
        <v>4</v>
      </c>
      <c r="F32" t="s">
        <v>243</v>
      </c>
      <c r="G32" t="s">
        <v>244</v>
      </c>
      <c r="H32" t="s">
        <v>245</v>
      </c>
      <c r="I32" t="s">
        <v>119</v>
      </c>
      <c r="J32">
        <v>9.9</v>
      </c>
    </row>
    <row r="33" spans="1:10" x14ac:dyDescent="0.2">
      <c r="A33" t="s">
        <v>246</v>
      </c>
      <c r="B33" t="s">
        <v>247</v>
      </c>
      <c r="C33" t="s">
        <v>248</v>
      </c>
      <c r="D33">
        <v>100</v>
      </c>
      <c r="E33">
        <v>4</v>
      </c>
      <c r="F33" t="s">
        <v>249</v>
      </c>
      <c r="G33" t="s">
        <v>250</v>
      </c>
      <c r="H33" t="s">
        <v>251</v>
      </c>
      <c r="I33" t="s">
        <v>119</v>
      </c>
      <c r="J33">
        <v>8.4</v>
      </c>
    </row>
    <row r="34" spans="1:10" x14ac:dyDescent="0.2">
      <c r="A34" t="s">
        <v>252</v>
      </c>
      <c r="B34" t="s">
        <v>150</v>
      </c>
      <c r="C34" t="s">
        <v>248</v>
      </c>
      <c r="D34">
        <v>100000</v>
      </c>
      <c r="E34">
        <v>4</v>
      </c>
      <c r="F34" t="s">
        <v>253</v>
      </c>
      <c r="G34" t="s">
        <v>254</v>
      </c>
      <c r="H34" t="s">
        <v>255</v>
      </c>
      <c r="I34" t="s">
        <v>119</v>
      </c>
      <c r="J34">
        <v>10.1</v>
      </c>
    </row>
    <row r="35" spans="1:10" x14ac:dyDescent="0.2">
      <c r="A35" t="s">
        <v>256</v>
      </c>
      <c r="B35" t="s">
        <v>150</v>
      </c>
      <c r="C35" t="s">
        <v>248</v>
      </c>
      <c r="D35">
        <v>100000</v>
      </c>
      <c r="E35">
        <v>4</v>
      </c>
      <c r="F35" t="s">
        <v>257</v>
      </c>
      <c r="G35" t="s">
        <v>258</v>
      </c>
      <c r="H35" t="s">
        <v>259</v>
      </c>
      <c r="I35" t="s">
        <v>119</v>
      </c>
      <c r="J35">
        <v>10.3</v>
      </c>
    </row>
    <row r="36" spans="1:10" x14ac:dyDescent="0.2">
      <c r="A36" t="s">
        <v>260</v>
      </c>
      <c r="B36" t="s">
        <v>150</v>
      </c>
      <c r="C36" t="s">
        <v>248</v>
      </c>
      <c r="D36">
        <v>1000</v>
      </c>
      <c r="E36">
        <v>4</v>
      </c>
      <c r="F36" t="s">
        <v>261</v>
      </c>
      <c r="G36" t="s">
        <v>262</v>
      </c>
      <c r="H36" t="s">
        <v>263</v>
      </c>
      <c r="I36" t="s">
        <v>119</v>
      </c>
      <c r="J36">
        <v>11</v>
      </c>
    </row>
    <row r="37" spans="1:10" x14ac:dyDescent="0.2">
      <c r="A37" t="s">
        <v>264</v>
      </c>
      <c r="B37" t="s">
        <v>150</v>
      </c>
      <c r="C37" t="s">
        <v>248</v>
      </c>
      <c r="D37">
        <v>1000</v>
      </c>
      <c r="E37">
        <v>4</v>
      </c>
      <c r="F37" t="s">
        <v>265</v>
      </c>
      <c r="G37" t="s">
        <v>266</v>
      </c>
      <c r="H37" t="s">
        <v>267</v>
      </c>
      <c r="I37" t="s">
        <v>119</v>
      </c>
      <c r="J37">
        <v>10.8</v>
      </c>
    </row>
    <row r="38" spans="1:10" x14ac:dyDescent="0.2">
      <c r="A38" t="s">
        <v>268</v>
      </c>
      <c r="B38" t="s">
        <v>150</v>
      </c>
      <c r="C38" t="s">
        <v>248</v>
      </c>
      <c r="D38">
        <v>1000</v>
      </c>
      <c r="E38">
        <v>4</v>
      </c>
      <c r="F38" t="s">
        <v>269</v>
      </c>
      <c r="G38" t="s">
        <v>270</v>
      </c>
      <c r="H38" t="s">
        <v>271</v>
      </c>
      <c r="I38" t="s">
        <v>119</v>
      </c>
      <c r="J38">
        <v>11.1</v>
      </c>
    </row>
    <row r="39" spans="1:10" x14ac:dyDescent="0.2">
      <c r="A39" t="s">
        <v>272</v>
      </c>
      <c r="B39" t="s">
        <v>247</v>
      </c>
      <c r="C39" t="s">
        <v>248</v>
      </c>
      <c r="D39">
        <v>10000</v>
      </c>
      <c r="E39">
        <v>4</v>
      </c>
      <c r="F39" t="s">
        <v>273</v>
      </c>
      <c r="G39" t="s">
        <v>274</v>
      </c>
      <c r="H39" t="s">
        <v>275</v>
      </c>
      <c r="I39" t="s">
        <v>119</v>
      </c>
      <c r="J39">
        <v>8.9</v>
      </c>
    </row>
    <row r="40" spans="1:10" x14ac:dyDescent="0.2">
      <c r="A40" t="s">
        <v>276</v>
      </c>
      <c r="B40" t="s">
        <v>247</v>
      </c>
      <c r="C40" t="s">
        <v>248</v>
      </c>
      <c r="D40">
        <v>10000</v>
      </c>
      <c r="E40">
        <v>4</v>
      </c>
      <c r="F40" t="s">
        <v>277</v>
      </c>
      <c r="G40" t="s">
        <v>278</v>
      </c>
      <c r="H40" t="s">
        <v>279</v>
      </c>
      <c r="I40" t="s">
        <v>119</v>
      </c>
      <c r="J40">
        <v>11.6</v>
      </c>
    </row>
    <row r="41" spans="1:10" x14ac:dyDescent="0.2">
      <c r="A41" t="s">
        <v>280</v>
      </c>
      <c r="B41" t="s">
        <v>247</v>
      </c>
      <c r="C41" t="s">
        <v>248</v>
      </c>
      <c r="D41">
        <v>10000</v>
      </c>
      <c r="E41">
        <v>4</v>
      </c>
      <c r="F41" t="s">
        <v>281</v>
      </c>
      <c r="G41" t="s">
        <v>282</v>
      </c>
      <c r="H41" t="s">
        <v>283</v>
      </c>
      <c r="I41" t="s">
        <v>119</v>
      </c>
      <c r="J41">
        <v>9.1</v>
      </c>
    </row>
    <row r="42" spans="1:10" x14ac:dyDescent="0.2">
      <c r="A42" t="s">
        <v>284</v>
      </c>
      <c r="B42" t="s">
        <v>247</v>
      </c>
      <c r="C42" t="s">
        <v>248</v>
      </c>
      <c r="D42">
        <v>100</v>
      </c>
      <c r="E42">
        <v>4</v>
      </c>
      <c r="F42" t="s">
        <v>285</v>
      </c>
      <c r="G42" t="s">
        <v>286</v>
      </c>
      <c r="H42" t="s">
        <v>287</v>
      </c>
      <c r="I42" t="s">
        <v>119</v>
      </c>
      <c r="J42">
        <v>11.5</v>
      </c>
    </row>
    <row r="43" spans="1:10" x14ac:dyDescent="0.2">
      <c r="A43" t="s">
        <v>288</v>
      </c>
      <c r="B43" t="s">
        <v>247</v>
      </c>
      <c r="C43" t="s">
        <v>248</v>
      </c>
      <c r="D43">
        <v>100000</v>
      </c>
      <c r="E43">
        <v>4</v>
      </c>
      <c r="F43" t="s">
        <v>289</v>
      </c>
      <c r="G43" t="s">
        <v>290</v>
      </c>
      <c r="H43" t="s">
        <v>291</v>
      </c>
      <c r="I43" t="s">
        <v>119</v>
      </c>
      <c r="J43">
        <v>9.5</v>
      </c>
    </row>
    <row r="44" spans="1:10" x14ac:dyDescent="0.2">
      <c r="A44" t="s">
        <v>292</v>
      </c>
      <c r="B44" t="s">
        <v>247</v>
      </c>
      <c r="C44" t="s">
        <v>248</v>
      </c>
      <c r="D44">
        <v>100000</v>
      </c>
      <c r="E44">
        <v>4</v>
      </c>
      <c r="F44" t="s">
        <v>293</v>
      </c>
      <c r="G44" t="s">
        <v>294</v>
      </c>
      <c r="H44" t="s">
        <v>295</v>
      </c>
      <c r="I44" t="s">
        <v>119</v>
      </c>
      <c r="J44">
        <v>11.3</v>
      </c>
    </row>
    <row r="45" spans="1:10" x14ac:dyDescent="0.2">
      <c r="A45" t="s">
        <v>296</v>
      </c>
      <c r="B45" t="s">
        <v>247</v>
      </c>
      <c r="C45" t="s">
        <v>248</v>
      </c>
      <c r="D45">
        <v>100000</v>
      </c>
      <c r="E45">
        <v>4</v>
      </c>
      <c r="F45" t="s">
        <v>297</v>
      </c>
      <c r="G45" t="s">
        <v>298</v>
      </c>
      <c r="H45" t="s">
        <v>299</v>
      </c>
      <c r="I45" t="s">
        <v>119</v>
      </c>
      <c r="J45">
        <v>8.6999999999999993</v>
      </c>
    </row>
    <row r="46" spans="1:10" x14ac:dyDescent="0.2">
      <c r="A46" t="s">
        <v>300</v>
      </c>
      <c r="B46" t="s">
        <v>247</v>
      </c>
      <c r="C46" t="s">
        <v>248</v>
      </c>
      <c r="D46">
        <v>1000</v>
      </c>
      <c r="E46">
        <v>4</v>
      </c>
      <c r="F46" t="s">
        <v>301</v>
      </c>
      <c r="G46" t="s">
        <v>302</v>
      </c>
      <c r="H46" t="s">
        <v>303</v>
      </c>
      <c r="I46" t="s">
        <v>119</v>
      </c>
      <c r="J46">
        <v>10.4</v>
      </c>
    </row>
    <row r="47" spans="1:10" x14ac:dyDescent="0.2">
      <c r="A47" t="s">
        <v>304</v>
      </c>
      <c r="B47" t="s">
        <v>247</v>
      </c>
      <c r="C47" t="s">
        <v>248</v>
      </c>
      <c r="D47">
        <v>1000</v>
      </c>
      <c r="E47">
        <v>4</v>
      </c>
      <c r="F47" t="s">
        <v>305</v>
      </c>
      <c r="G47" t="s">
        <v>306</v>
      </c>
      <c r="H47" t="s">
        <v>307</v>
      </c>
      <c r="I47" t="s">
        <v>119</v>
      </c>
      <c r="J47">
        <v>10.199999999999999</v>
      </c>
    </row>
    <row r="48" spans="1:10" x14ac:dyDescent="0.2">
      <c r="A48" t="s">
        <v>308</v>
      </c>
      <c r="B48" t="s">
        <v>247</v>
      </c>
      <c r="C48" t="s">
        <v>248</v>
      </c>
      <c r="D48">
        <v>100</v>
      </c>
      <c r="E48">
        <v>4</v>
      </c>
      <c r="F48" t="s">
        <v>309</v>
      </c>
      <c r="G48" t="s">
        <v>310</v>
      </c>
      <c r="H48" t="s">
        <v>311</v>
      </c>
      <c r="I48" t="s">
        <v>119</v>
      </c>
      <c r="J48">
        <v>10.4</v>
      </c>
    </row>
    <row r="49" spans="1:10" x14ac:dyDescent="0.2">
      <c r="A49" t="s">
        <v>312</v>
      </c>
      <c r="B49" t="s">
        <v>247</v>
      </c>
      <c r="C49" t="s">
        <v>248</v>
      </c>
      <c r="D49">
        <v>100</v>
      </c>
      <c r="E49">
        <v>4</v>
      </c>
      <c r="F49" t="s">
        <v>313</v>
      </c>
      <c r="G49" t="s">
        <v>314</v>
      </c>
      <c r="H49" t="s">
        <v>315</v>
      </c>
      <c r="I49" t="s">
        <v>119</v>
      </c>
      <c r="J49">
        <v>10.5</v>
      </c>
    </row>
    <row r="50" spans="1:10" x14ac:dyDescent="0.2">
      <c r="A50" t="s">
        <v>316</v>
      </c>
      <c r="B50" t="s">
        <v>247</v>
      </c>
      <c r="C50" t="s">
        <v>248</v>
      </c>
      <c r="D50">
        <v>100</v>
      </c>
      <c r="E50">
        <v>4</v>
      </c>
      <c r="F50" t="s">
        <v>317</v>
      </c>
      <c r="G50" t="s">
        <v>318</v>
      </c>
      <c r="H50" t="s">
        <v>319</v>
      </c>
      <c r="I50" t="s">
        <v>119</v>
      </c>
      <c r="J50">
        <v>10</v>
      </c>
    </row>
    <row r="51" spans="1:10" x14ac:dyDescent="0.2">
      <c r="A51" t="s">
        <v>320</v>
      </c>
      <c r="B51" t="s">
        <v>247</v>
      </c>
      <c r="C51" t="s">
        <v>248</v>
      </c>
      <c r="D51">
        <v>100000</v>
      </c>
      <c r="E51">
        <v>4</v>
      </c>
      <c r="F51" t="s">
        <v>321</v>
      </c>
      <c r="G51" t="s">
        <v>322</v>
      </c>
      <c r="H51" t="s">
        <v>323</v>
      </c>
      <c r="I51" t="s">
        <v>119</v>
      </c>
      <c r="J51">
        <v>8.6</v>
      </c>
    </row>
    <row r="52" spans="1:10" x14ac:dyDescent="0.2">
      <c r="A52" t="s">
        <v>324</v>
      </c>
      <c r="B52" t="s">
        <v>247</v>
      </c>
      <c r="C52" t="s">
        <v>248</v>
      </c>
      <c r="D52">
        <v>100000</v>
      </c>
      <c r="E52">
        <v>4</v>
      </c>
      <c r="F52" t="s">
        <v>325</v>
      </c>
      <c r="G52" t="s">
        <v>326</v>
      </c>
      <c r="H52" t="s">
        <v>327</v>
      </c>
      <c r="I52" t="s">
        <v>119</v>
      </c>
      <c r="J52">
        <v>9.6999999999999993</v>
      </c>
    </row>
    <row r="53" spans="1:10" x14ac:dyDescent="0.2">
      <c r="A53" t="s">
        <v>328</v>
      </c>
      <c r="B53" t="s">
        <v>247</v>
      </c>
      <c r="C53" t="s">
        <v>248</v>
      </c>
      <c r="D53">
        <v>100000</v>
      </c>
      <c r="E53">
        <v>4</v>
      </c>
      <c r="F53" t="s">
        <v>329</v>
      </c>
      <c r="G53" t="s">
        <v>330</v>
      </c>
      <c r="H53" t="s">
        <v>331</v>
      </c>
      <c r="I53" t="s">
        <v>119</v>
      </c>
      <c r="J53">
        <v>10.9</v>
      </c>
    </row>
    <row r="54" spans="1:10" x14ac:dyDescent="0.2">
      <c r="A54" t="s">
        <v>332</v>
      </c>
      <c r="B54" t="s">
        <v>247</v>
      </c>
      <c r="C54" t="s">
        <v>248</v>
      </c>
      <c r="D54">
        <v>10000</v>
      </c>
      <c r="E54">
        <v>4</v>
      </c>
      <c r="F54" t="s">
        <v>333</v>
      </c>
      <c r="G54" t="s">
        <v>334</v>
      </c>
      <c r="H54" t="s">
        <v>335</v>
      </c>
      <c r="I54" t="s">
        <v>119</v>
      </c>
      <c r="J54">
        <v>9.6</v>
      </c>
    </row>
    <row r="55" spans="1:10" x14ac:dyDescent="0.2">
      <c r="A55" t="s">
        <v>336</v>
      </c>
      <c r="B55" t="s">
        <v>337</v>
      </c>
      <c r="C55" t="s">
        <v>337</v>
      </c>
      <c r="D55" t="s">
        <v>337</v>
      </c>
      <c r="E55">
        <v>4</v>
      </c>
      <c r="F55" t="s">
        <v>338</v>
      </c>
      <c r="G55" t="s">
        <v>339</v>
      </c>
      <c r="H55" t="s">
        <v>340</v>
      </c>
      <c r="I55" t="s">
        <v>248</v>
      </c>
      <c r="J55" t="s">
        <v>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3501-5B9E-2A42-98B3-4C9D0DBFCACC}">
  <dimension ref="A1:J55"/>
  <sheetViews>
    <sheetView workbookViewId="0">
      <selection sqref="A1:B1048576"/>
    </sheetView>
  </sheetViews>
  <sheetFormatPr baseColWidth="10" defaultRowHeight="16" x14ac:dyDescent="0.2"/>
  <sheetData>
    <row r="1" spans="1:10" x14ac:dyDescent="0.2">
      <c r="A1" t="s">
        <v>102</v>
      </c>
      <c r="B1" t="s">
        <v>109</v>
      </c>
      <c r="C1" t="s">
        <v>110</v>
      </c>
      <c r="D1" t="s">
        <v>111</v>
      </c>
      <c r="E1" t="s">
        <v>112</v>
      </c>
      <c r="F1" t="s">
        <v>0</v>
      </c>
      <c r="G1" t="s">
        <v>113</v>
      </c>
      <c r="H1" t="s">
        <v>114</v>
      </c>
      <c r="I1" t="s">
        <v>115</v>
      </c>
      <c r="J1" t="s">
        <v>116</v>
      </c>
    </row>
    <row r="2" spans="1:10" x14ac:dyDescent="0.2">
      <c r="A2" t="s">
        <v>117</v>
      </c>
      <c r="B2" t="s">
        <v>118</v>
      </c>
      <c r="C2" t="s">
        <v>119</v>
      </c>
      <c r="D2">
        <v>0</v>
      </c>
      <c r="E2">
        <v>4</v>
      </c>
      <c r="F2" t="s">
        <v>120</v>
      </c>
      <c r="G2" t="s">
        <v>121</v>
      </c>
      <c r="H2" t="s">
        <v>122</v>
      </c>
      <c r="I2" t="s">
        <v>119</v>
      </c>
      <c r="J2">
        <v>10.1</v>
      </c>
    </row>
    <row r="3" spans="1:10" x14ac:dyDescent="0.2">
      <c r="A3" t="s">
        <v>123</v>
      </c>
      <c r="B3" t="s">
        <v>124</v>
      </c>
      <c r="C3" t="s">
        <v>119</v>
      </c>
      <c r="D3">
        <v>0</v>
      </c>
      <c r="E3">
        <v>4</v>
      </c>
      <c r="F3" t="s">
        <v>125</v>
      </c>
      <c r="G3" t="s">
        <v>126</v>
      </c>
      <c r="H3" t="s">
        <v>127</v>
      </c>
      <c r="I3" t="s">
        <v>119</v>
      </c>
      <c r="J3">
        <v>10.3</v>
      </c>
    </row>
    <row r="4" spans="1:10" x14ac:dyDescent="0.2">
      <c r="A4" t="s">
        <v>128</v>
      </c>
      <c r="B4" t="s">
        <v>124</v>
      </c>
      <c r="C4" t="s">
        <v>119</v>
      </c>
      <c r="D4">
        <v>0</v>
      </c>
      <c r="E4">
        <v>4</v>
      </c>
      <c r="F4" t="s">
        <v>129</v>
      </c>
      <c r="G4" t="s">
        <v>130</v>
      </c>
      <c r="H4" t="s">
        <v>131</v>
      </c>
      <c r="I4" t="s">
        <v>119</v>
      </c>
      <c r="J4">
        <v>9.8000000000000007</v>
      </c>
    </row>
    <row r="5" spans="1:10" x14ac:dyDescent="0.2">
      <c r="A5" t="s">
        <v>132</v>
      </c>
      <c r="B5" t="s">
        <v>124</v>
      </c>
      <c r="C5" t="s">
        <v>119</v>
      </c>
      <c r="D5">
        <v>0</v>
      </c>
      <c r="E5">
        <v>4</v>
      </c>
      <c r="F5" t="s">
        <v>133</v>
      </c>
      <c r="G5" t="s">
        <v>134</v>
      </c>
      <c r="H5" t="s">
        <v>135</v>
      </c>
      <c r="I5" t="s">
        <v>119</v>
      </c>
      <c r="J5">
        <v>10.4</v>
      </c>
    </row>
    <row r="6" spans="1:10" x14ac:dyDescent="0.2">
      <c r="A6" t="s">
        <v>136</v>
      </c>
      <c r="B6" t="s">
        <v>124</v>
      </c>
      <c r="C6" t="s">
        <v>119</v>
      </c>
      <c r="D6">
        <v>0</v>
      </c>
      <c r="E6">
        <v>4</v>
      </c>
      <c r="F6" t="s">
        <v>137</v>
      </c>
      <c r="G6" t="s">
        <v>138</v>
      </c>
      <c r="H6" t="s">
        <v>139</v>
      </c>
      <c r="I6" t="s">
        <v>119</v>
      </c>
      <c r="J6">
        <v>9.5</v>
      </c>
    </row>
    <row r="7" spans="1:10" x14ac:dyDescent="0.2">
      <c r="A7" t="s">
        <v>140</v>
      </c>
      <c r="B7" t="s">
        <v>115</v>
      </c>
      <c r="C7" t="s">
        <v>119</v>
      </c>
      <c r="D7">
        <v>0</v>
      </c>
      <c r="E7">
        <v>4</v>
      </c>
      <c r="F7" t="s">
        <v>141</v>
      </c>
      <c r="G7" t="s">
        <v>142</v>
      </c>
      <c r="H7" t="s">
        <v>143</v>
      </c>
      <c r="I7" t="s">
        <v>119</v>
      </c>
      <c r="J7">
        <v>11.9</v>
      </c>
    </row>
    <row r="8" spans="1:10" x14ac:dyDescent="0.2">
      <c r="A8" t="s">
        <v>144</v>
      </c>
      <c r="B8" t="s">
        <v>145</v>
      </c>
      <c r="C8" t="s">
        <v>119</v>
      </c>
      <c r="D8">
        <v>0</v>
      </c>
      <c r="E8">
        <v>4</v>
      </c>
      <c r="F8" t="s">
        <v>146</v>
      </c>
      <c r="G8" t="s">
        <v>147</v>
      </c>
      <c r="H8" t="s">
        <v>148</v>
      </c>
      <c r="I8" t="s">
        <v>119</v>
      </c>
      <c r="J8">
        <v>9.4</v>
      </c>
    </row>
    <row r="9" spans="1:10" x14ac:dyDescent="0.2">
      <c r="A9" t="s">
        <v>149</v>
      </c>
      <c r="B9" t="s">
        <v>150</v>
      </c>
      <c r="C9" t="s">
        <v>119</v>
      </c>
      <c r="D9">
        <v>0</v>
      </c>
      <c r="E9">
        <v>4</v>
      </c>
      <c r="F9" t="s">
        <v>151</v>
      </c>
      <c r="G9" t="s">
        <v>152</v>
      </c>
      <c r="H9" t="s">
        <v>153</v>
      </c>
      <c r="I9" t="s">
        <v>119</v>
      </c>
      <c r="J9">
        <v>11</v>
      </c>
    </row>
    <row r="10" spans="1:10" x14ac:dyDescent="0.2">
      <c r="A10" t="s">
        <v>154</v>
      </c>
      <c r="B10" t="s">
        <v>118</v>
      </c>
      <c r="C10" t="s">
        <v>119</v>
      </c>
      <c r="D10">
        <v>0</v>
      </c>
      <c r="E10">
        <v>4</v>
      </c>
      <c r="F10" t="s">
        <v>155</v>
      </c>
      <c r="G10" t="s">
        <v>156</v>
      </c>
      <c r="H10" t="s">
        <v>157</v>
      </c>
      <c r="I10" t="s">
        <v>119</v>
      </c>
      <c r="J10">
        <v>10.199999999999999</v>
      </c>
    </row>
    <row r="11" spans="1:10" x14ac:dyDescent="0.2">
      <c r="A11" t="s">
        <v>158</v>
      </c>
      <c r="B11" t="s">
        <v>150</v>
      </c>
      <c r="C11" t="s">
        <v>119</v>
      </c>
      <c r="D11">
        <v>0</v>
      </c>
      <c r="E11">
        <v>4</v>
      </c>
      <c r="F11" t="s">
        <v>159</v>
      </c>
      <c r="G11" t="s">
        <v>160</v>
      </c>
      <c r="H11" t="s">
        <v>161</v>
      </c>
      <c r="I11" t="s">
        <v>119</v>
      </c>
      <c r="J11">
        <v>9.1999999999999993</v>
      </c>
    </row>
    <row r="12" spans="1:10" x14ac:dyDescent="0.2">
      <c r="A12" t="s">
        <v>162</v>
      </c>
      <c r="B12" t="s">
        <v>163</v>
      </c>
      <c r="C12" t="s">
        <v>119</v>
      </c>
      <c r="D12">
        <v>0</v>
      </c>
      <c r="E12">
        <v>4</v>
      </c>
      <c r="F12" t="s">
        <v>164</v>
      </c>
      <c r="G12" t="s">
        <v>165</v>
      </c>
      <c r="H12" t="s">
        <v>166</v>
      </c>
      <c r="I12" t="s">
        <v>119</v>
      </c>
      <c r="J12">
        <v>11.4</v>
      </c>
    </row>
    <row r="13" spans="1:10" x14ac:dyDescent="0.2">
      <c r="A13" t="s">
        <v>167</v>
      </c>
      <c r="B13" t="s">
        <v>115</v>
      </c>
      <c r="C13" t="s">
        <v>119</v>
      </c>
      <c r="D13">
        <v>0</v>
      </c>
      <c r="E13">
        <v>4</v>
      </c>
      <c r="F13" t="s">
        <v>168</v>
      </c>
      <c r="G13" t="s">
        <v>169</v>
      </c>
      <c r="H13" t="s">
        <v>170</v>
      </c>
      <c r="I13" t="s">
        <v>119</v>
      </c>
      <c r="J13">
        <v>9.6999999999999993</v>
      </c>
    </row>
    <row r="14" spans="1:10" x14ac:dyDescent="0.2">
      <c r="A14" t="s">
        <v>171</v>
      </c>
      <c r="B14" t="s">
        <v>150</v>
      </c>
      <c r="C14" t="s">
        <v>119</v>
      </c>
      <c r="D14">
        <v>0</v>
      </c>
      <c r="E14">
        <v>4</v>
      </c>
      <c r="F14" t="s">
        <v>172</v>
      </c>
      <c r="G14" t="s">
        <v>173</v>
      </c>
      <c r="H14" t="s">
        <v>174</v>
      </c>
      <c r="I14" t="s">
        <v>119</v>
      </c>
      <c r="J14">
        <v>11.2</v>
      </c>
    </row>
    <row r="15" spans="1:10" x14ac:dyDescent="0.2">
      <c r="A15" t="s">
        <v>175</v>
      </c>
      <c r="B15" t="s">
        <v>163</v>
      </c>
      <c r="C15" t="s">
        <v>119</v>
      </c>
      <c r="D15">
        <v>0</v>
      </c>
      <c r="E15">
        <v>4</v>
      </c>
      <c r="F15" t="s">
        <v>176</v>
      </c>
      <c r="G15" t="s">
        <v>177</v>
      </c>
      <c r="H15" t="s">
        <v>178</v>
      </c>
      <c r="I15" t="s">
        <v>119</v>
      </c>
      <c r="J15">
        <v>9.1</v>
      </c>
    </row>
    <row r="16" spans="1:10" x14ac:dyDescent="0.2">
      <c r="A16" t="s">
        <v>179</v>
      </c>
      <c r="B16" t="s">
        <v>145</v>
      </c>
      <c r="C16" t="s">
        <v>119</v>
      </c>
      <c r="D16">
        <v>0</v>
      </c>
      <c r="E16">
        <v>4</v>
      </c>
      <c r="F16" t="s">
        <v>180</v>
      </c>
      <c r="G16" t="s">
        <v>181</v>
      </c>
      <c r="H16" t="s">
        <v>182</v>
      </c>
      <c r="I16" t="s">
        <v>119</v>
      </c>
      <c r="J16">
        <v>11.8</v>
      </c>
    </row>
    <row r="17" spans="1:10" x14ac:dyDescent="0.2">
      <c r="A17" t="s">
        <v>183</v>
      </c>
      <c r="B17" t="s">
        <v>145</v>
      </c>
      <c r="C17" t="s">
        <v>119</v>
      </c>
      <c r="D17">
        <v>0</v>
      </c>
      <c r="E17">
        <v>4</v>
      </c>
      <c r="F17" t="s">
        <v>180</v>
      </c>
      <c r="G17" t="s">
        <v>185</v>
      </c>
      <c r="H17" t="s">
        <v>186</v>
      </c>
      <c r="I17" t="s">
        <v>119</v>
      </c>
      <c r="J17">
        <v>10.8</v>
      </c>
    </row>
    <row r="18" spans="1:10" x14ac:dyDescent="0.2">
      <c r="A18" t="s">
        <v>187</v>
      </c>
      <c r="B18" t="s">
        <v>188</v>
      </c>
      <c r="C18" t="s">
        <v>119</v>
      </c>
      <c r="D18">
        <v>0</v>
      </c>
      <c r="E18">
        <v>4</v>
      </c>
      <c r="F18" t="s">
        <v>189</v>
      </c>
      <c r="G18" t="s">
        <v>190</v>
      </c>
      <c r="H18" t="s">
        <v>191</v>
      </c>
      <c r="I18" t="s">
        <v>119</v>
      </c>
      <c r="J18">
        <v>10.199999999999999</v>
      </c>
    </row>
    <row r="19" spans="1:10" x14ac:dyDescent="0.2">
      <c r="A19" t="s">
        <v>192</v>
      </c>
      <c r="B19" t="s">
        <v>115</v>
      </c>
      <c r="C19" t="s">
        <v>119</v>
      </c>
      <c r="D19">
        <v>0</v>
      </c>
      <c r="E19">
        <v>4</v>
      </c>
      <c r="F19" t="s">
        <v>193</v>
      </c>
      <c r="G19" t="s">
        <v>194</v>
      </c>
      <c r="H19" t="s">
        <v>195</v>
      </c>
      <c r="I19" t="s">
        <v>119</v>
      </c>
      <c r="J19">
        <v>10.5</v>
      </c>
    </row>
    <row r="20" spans="1:10" x14ac:dyDescent="0.2">
      <c r="A20" t="s">
        <v>196</v>
      </c>
      <c r="B20" t="s">
        <v>115</v>
      </c>
      <c r="C20" t="s">
        <v>119</v>
      </c>
      <c r="D20">
        <v>0</v>
      </c>
      <c r="E20">
        <v>4</v>
      </c>
      <c r="F20" t="s">
        <v>197</v>
      </c>
      <c r="G20" t="s">
        <v>198</v>
      </c>
      <c r="H20" t="s">
        <v>199</v>
      </c>
      <c r="I20" t="s">
        <v>119</v>
      </c>
      <c r="J20">
        <v>10.5</v>
      </c>
    </row>
    <row r="21" spans="1:10" x14ac:dyDescent="0.2">
      <c r="A21" t="s">
        <v>200</v>
      </c>
      <c r="B21" t="s">
        <v>115</v>
      </c>
      <c r="C21" t="s">
        <v>119</v>
      </c>
      <c r="D21">
        <v>0</v>
      </c>
      <c r="E21">
        <v>4</v>
      </c>
      <c r="F21" t="s">
        <v>201</v>
      </c>
      <c r="G21" t="s">
        <v>202</v>
      </c>
      <c r="H21" t="s">
        <v>203</v>
      </c>
      <c r="I21" t="s">
        <v>119</v>
      </c>
      <c r="J21">
        <v>10.6</v>
      </c>
    </row>
    <row r="22" spans="1:10" x14ac:dyDescent="0.2">
      <c r="A22" t="s">
        <v>204</v>
      </c>
      <c r="B22" t="s">
        <v>118</v>
      </c>
      <c r="C22" t="s">
        <v>119</v>
      </c>
      <c r="D22">
        <v>0</v>
      </c>
      <c r="E22">
        <v>4</v>
      </c>
      <c r="F22" t="s">
        <v>205</v>
      </c>
      <c r="G22" t="s">
        <v>206</v>
      </c>
      <c r="H22" t="s">
        <v>207</v>
      </c>
      <c r="I22" t="s">
        <v>119</v>
      </c>
      <c r="J22">
        <v>9.3000000000000007</v>
      </c>
    </row>
    <row r="23" spans="1:10" x14ac:dyDescent="0.2">
      <c r="A23" t="s">
        <v>208</v>
      </c>
      <c r="B23" t="s">
        <v>118</v>
      </c>
      <c r="C23" t="s">
        <v>119</v>
      </c>
      <c r="D23">
        <v>0</v>
      </c>
      <c r="E23">
        <v>4</v>
      </c>
      <c r="F23" t="s">
        <v>209</v>
      </c>
      <c r="G23" t="s">
        <v>210</v>
      </c>
      <c r="H23" t="s">
        <v>211</v>
      </c>
      <c r="I23" t="s">
        <v>119</v>
      </c>
      <c r="J23">
        <v>11.1</v>
      </c>
    </row>
    <row r="24" spans="1:10" x14ac:dyDescent="0.2">
      <c r="A24" t="s">
        <v>212</v>
      </c>
      <c r="B24" t="s">
        <v>118</v>
      </c>
      <c r="C24" t="s">
        <v>119</v>
      </c>
      <c r="D24">
        <v>0</v>
      </c>
      <c r="E24">
        <v>4</v>
      </c>
      <c r="F24" t="s">
        <v>213</v>
      </c>
      <c r="G24" t="s">
        <v>214</v>
      </c>
      <c r="H24" t="s">
        <v>215</v>
      </c>
      <c r="I24" t="s">
        <v>119</v>
      </c>
      <c r="J24">
        <v>9.8000000000000007</v>
      </c>
    </row>
    <row r="25" spans="1:10" x14ac:dyDescent="0.2">
      <c r="A25" t="s">
        <v>216</v>
      </c>
      <c r="B25" t="s">
        <v>163</v>
      </c>
      <c r="C25" t="s">
        <v>119</v>
      </c>
      <c r="D25">
        <v>0</v>
      </c>
      <c r="E25">
        <v>4</v>
      </c>
      <c r="F25" t="s">
        <v>217</v>
      </c>
      <c r="G25" t="s">
        <v>218</v>
      </c>
      <c r="H25" t="s">
        <v>219</v>
      </c>
      <c r="I25" t="s">
        <v>119</v>
      </c>
      <c r="J25">
        <v>10.1</v>
      </c>
    </row>
    <row r="26" spans="1:10" x14ac:dyDescent="0.2">
      <c r="A26" t="s">
        <v>220</v>
      </c>
      <c r="B26" t="s">
        <v>118</v>
      </c>
      <c r="C26" t="s">
        <v>119</v>
      </c>
      <c r="D26">
        <v>0</v>
      </c>
      <c r="E26">
        <v>4</v>
      </c>
      <c r="F26" t="s">
        <v>221</v>
      </c>
      <c r="G26" t="s">
        <v>222</v>
      </c>
      <c r="H26" t="s">
        <v>223</v>
      </c>
      <c r="I26" t="s">
        <v>119</v>
      </c>
      <c r="J26">
        <v>8.8000000000000007</v>
      </c>
    </row>
    <row r="27" spans="1:10" x14ac:dyDescent="0.2">
      <c r="A27" t="s">
        <v>224</v>
      </c>
      <c r="B27" t="s">
        <v>118</v>
      </c>
      <c r="C27" t="s">
        <v>119</v>
      </c>
      <c r="D27">
        <v>0</v>
      </c>
      <c r="E27">
        <v>4</v>
      </c>
      <c r="F27" t="s">
        <v>225</v>
      </c>
      <c r="G27" t="s">
        <v>226</v>
      </c>
      <c r="H27" t="s">
        <v>227</v>
      </c>
      <c r="I27" t="s">
        <v>119</v>
      </c>
      <c r="J27">
        <v>10</v>
      </c>
    </row>
    <row r="28" spans="1:10" x14ac:dyDescent="0.2">
      <c r="A28" t="s">
        <v>228</v>
      </c>
      <c r="B28" t="s">
        <v>188</v>
      </c>
      <c r="C28" t="s">
        <v>119</v>
      </c>
      <c r="D28">
        <v>0</v>
      </c>
      <c r="E28">
        <v>4</v>
      </c>
      <c r="F28" t="s">
        <v>205</v>
      </c>
      <c r="G28" t="s">
        <v>229</v>
      </c>
      <c r="H28" t="s">
        <v>219</v>
      </c>
      <c r="I28" t="s">
        <v>119</v>
      </c>
      <c r="J28">
        <v>10.7</v>
      </c>
    </row>
    <row r="29" spans="1:10" x14ac:dyDescent="0.2">
      <c r="A29" t="s">
        <v>230</v>
      </c>
      <c r="B29" t="s">
        <v>118</v>
      </c>
      <c r="C29" t="s">
        <v>119</v>
      </c>
      <c r="D29">
        <v>0</v>
      </c>
      <c r="E29">
        <v>4</v>
      </c>
      <c r="F29" t="s">
        <v>231</v>
      </c>
      <c r="G29" t="s">
        <v>232</v>
      </c>
      <c r="H29" t="s">
        <v>233</v>
      </c>
      <c r="I29" t="s">
        <v>119</v>
      </c>
      <c r="J29">
        <v>9.9</v>
      </c>
    </row>
    <row r="30" spans="1:10" x14ac:dyDescent="0.2">
      <c r="A30" t="s">
        <v>234</v>
      </c>
      <c r="B30" t="s">
        <v>163</v>
      </c>
      <c r="C30" t="s">
        <v>119</v>
      </c>
      <c r="D30">
        <v>0</v>
      </c>
      <c r="E30">
        <v>4</v>
      </c>
      <c r="F30" t="s">
        <v>235</v>
      </c>
      <c r="G30" t="s">
        <v>236</v>
      </c>
      <c r="H30" t="s">
        <v>237</v>
      </c>
      <c r="I30" t="s">
        <v>119</v>
      </c>
      <c r="J30">
        <v>10.7</v>
      </c>
    </row>
    <row r="31" spans="1:10" x14ac:dyDescent="0.2">
      <c r="A31" t="s">
        <v>238</v>
      </c>
      <c r="B31" t="s">
        <v>163</v>
      </c>
      <c r="C31" t="s">
        <v>119</v>
      </c>
      <c r="D31">
        <v>0</v>
      </c>
      <c r="E31">
        <v>4</v>
      </c>
      <c r="F31" t="s">
        <v>239</v>
      </c>
      <c r="G31" t="s">
        <v>240</v>
      </c>
      <c r="H31" t="s">
        <v>241</v>
      </c>
      <c r="I31" t="s">
        <v>119</v>
      </c>
      <c r="J31">
        <v>9.3000000000000007</v>
      </c>
    </row>
    <row r="32" spans="1:10" x14ac:dyDescent="0.2">
      <c r="A32" t="s">
        <v>242</v>
      </c>
      <c r="B32" t="s">
        <v>188</v>
      </c>
      <c r="C32" t="s">
        <v>119</v>
      </c>
      <c r="D32">
        <v>0</v>
      </c>
      <c r="E32">
        <v>4</v>
      </c>
      <c r="F32" t="s">
        <v>243</v>
      </c>
      <c r="G32" t="s">
        <v>244</v>
      </c>
      <c r="H32" t="s">
        <v>245</v>
      </c>
      <c r="I32" t="s">
        <v>119</v>
      </c>
      <c r="J32">
        <v>9.9</v>
      </c>
    </row>
    <row r="33" spans="1:10" x14ac:dyDescent="0.2">
      <c r="A33" t="s">
        <v>246</v>
      </c>
      <c r="B33" t="s">
        <v>247</v>
      </c>
      <c r="C33" t="s">
        <v>248</v>
      </c>
      <c r="D33">
        <v>100</v>
      </c>
      <c r="E33">
        <v>4</v>
      </c>
      <c r="F33" t="s">
        <v>249</v>
      </c>
      <c r="G33" t="s">
        <v>250</v>
      </c>
      <c r="H33" t="s">
        <v>251</v>
      </c>
      <c r="I33" t="s">
        <v>119</v>
      </c>
      <c r="J33">
        <v>8.4</v>
      </c>
    </row>
    <row r="34" spans="1:10" x14ac:dyDescent="0.2">
      <c r="A34" t="s">
        <v>252</v>
      </c>
      <c r="B34" t="s">
        <v>150</v>
      </c>
      <c r="C34" t="s">
        <v>248</v>
      </c>
      <c r="D34">
        <v>100000</v>
      </c>
      <c r="E34">
        <v>4</v>
      </c>
      <c r="F34" t="s">
        <v>253</v>
      </c>
      <c r="G34" t="s">
        <v>254</v>
      </c>
      <c r="H34" t="s">
        <v>255</v>
      </c>
      <c r="I34" t="s">
        <v>119</v>
      </c>
      <c r="J34">
        <v>10.1</v>
      </c>
    </row>
    <row r="35" spans="1:10" x14ac:dyDescent="0.2">
      <c r="A35" t="s">
        <v>256</v>
      </c>
      <c r="B35" t="s">
        <v>150</v>
      </c>
      <c r="C35" t="s">
        <v>248</v>
      </c>
      <c r="D35">
        <v>100000</v>
      </c>
      <c r="E35">
        <v>4</v>
      </c>
      <c r="F35" t="s">
        <v>257</v>
      </c>
      <c r="G35" t="s">
        <v>258</v>
      </c>
      <c r="H35" t="s">
        <v>259</v>
      </c>
      <c r="I35" t="s">
        <v>119</v>
      </c>
      <c r="J35">
        <v>10.3</v>
      </c>
    </row>
    <row r="36" spans="1:10" x14ac:dyDescent="0.2">
      <c r="A36" t="s">
        <v>260</v>
      </c>
      <c r="B36" t="s">
        <v>150</v>
      </c>
      <c r="C36" t="s">
        <v>248</v>
      </c>
      <c r="D36">
        <v>1000</v>
      </c>
      <c r="E36">
        <v>4</v>
      </c>
      <c r="F36" t="s">
        <v>261</v>
      </c>
      <c r="G36" t="s">
        <v>262</v>
      </c>
      <c r="H36" t="s">
        <v>263</v>
      </c>
      <c r="I36" t="s">
        <v>119</v>
      </c>
      <c r="J36">
        <v>11</v>
      </c>
    </row>
    <row r="37" spans="1:10" x14ac:dyDescent="0.2">
      <c r="A37" t="s">
        <v>264</v>
      </c>
      <c r="B37" t="s">
        <v>150</v>
      </c>
      <c r="C37" t="s">
        <v>248</v>
      </c>
      <c r="D37">
        <v>1000</v>
      </c>
      <c r="E37">
        <v>4</v>
      </c>
      <c r="F37" t="s">
        <v>265</v>
      </c>
      <c r="G37" t="s">
        <v>266</v>
      </c>
      <c r="H37" t="s">
        <v>267</v>
      </c>
      <c r="I37" t="s">
        <v>119</v>
      </c>
      <c r="J37">
        <v>10.8</v>
      </c>
    </row>
    <row r="38" spans="1:10" x14ac:dyDescent="0.2">
      <c r="A38" t="s">
        <v>268</v>
      </c>
      <c r="B38" t="s">
        <v>150</v>
      </c>
      <c r="C38" t="s">
        <v>248</v>
      </c>
      <c r="D38">
        <v>1000</v>
      </c>
      <c r="E38">
        <v>4</v>
      </c>
      <c r="F38" t="s">
        <v>269</v>
      </c>
      <c r="G38" t="s">
        <v>270</v>
      </c>
      <c r="H38" t="s">
        <v>271</v>
      </c>
      <c r="I38" t="s">
        <v>119</v>
      </c>
      <c r="J38">
        <v>11.1</v>
      </c>
    </row>
    <row r="39" spans="1:10" x14ac:dyDescent="0.2">
      <c r="A39" t="s">
        <v>272</v>
      </c>
      <c r="B39" t="s">
        <v>247</v>
      </c>
      <c r="C39" t="s">
        <v>248</v>
      </c>
      <c r="D39">
        <v>10000</v>
      </c>
      <c r="E39">
        <v>4</v>
      </c>
      <c r="F39" t="s">
        <v>273</v>
      </c>
      <c r="G39" t="s">
        <v>274</v>
      </c>
      <c r="H39" t="s">
        <v>275</v>
      </c>
      <c r="I39" t="s">
        <v>119</v>
      </c>
      <c r="J39">
        <v>8.9</v>
      </c>
    </row>
    <row r="40" spans="1:10" x14ac:dyDescent="0.2">
      <c r="A40" t="s">
        <v>276</v>
      </c>
      <c r="B40" t="s">
        <v>247</v>
      </c>
      <c r="C40" t="s">
        <v>248</v>
      </c>
      <c r="D40">
        <v>10000</v>
      </c>
      <c r="E40">
        <v>4</v>
      </c>
      <c r="F40" t="s">
        <v>277</v>
      </c>
      <c r="G40" t="s">
        <v>278</v>
      </c>
      <c r="H40" t="s">
        <v>279</v>
      </c>
      <c r="I40" t="s">
        <v>119</v>
      </c>
      <c r="J40">
        <v>11.6</v>
      </c>
    </row>
    <row r="41" spans="1:10" x14ac:dyDescent="0.2">
      <c r="A41" t="s">
        <v>280</v>
      </c>
      <c r="B41" t="s">
        <v>247</v>
      </c>
      <c r="C41" t="s">
        <v>248</v>
      </c>
      <c r="D41">
        <v>10000</v>
      </c>
      <c r="E41">
        <v>4</v>
      </c>
      <c r="F41" t="s">
        <v>281</v>
      </c>
      <c r="G41" t="s">
        <v>282</v>
      </c>
      <c r="H41" t="s">
        <v>283</v>
      </c>
      <c r="I41" t="s">
        <v>119</v>
      </c>
      <c r="J41">
        <v>9.1</v>
      </c>
    </row>
    <row r="42" spans="1:10" x14ac:dyDescent="0.2">
      <c r="A42" t="s">
        <v>284</v>
      </c>
      <c r="B42" t="s">
        <v>247</v>
      </c>
      <c r="C42" t="s">
        <v>248</v>
      </c>
      <c r="D42">
        <v>100</v>
      </c>
      <c r="E42">
        <v>4</v>
      </c>
      <c r="F42" t="s">
        <v>285</v>
      </c>
      <c r="G42" t="s">
        <v>286</v>
      </c>
      <c r="H42" t="s">
        <v>287</v>
      </c>
      <c r="I42" t="s">
        <v>119</v>
      </c>
      <c r="J42">
        <v>11.5</v>
      </c>
    </row>
    <row r="43" spans="1:10" x14ac:dyDescent="0.2">
      <c r="A43" t="s">
        <v>288</v>
      </c>
      <c r="B43" t="s">
        <v>247</v>
      </c>
      <c r="C43" t="s">
        <v>248</v>
      </c>
      <c r="D43">
        <v>100000</v>
      </c>
      <c r="E43">
        <v>4</v>
      </c>
      <c r="F43" t="s">
        <v>289</v>
      </c>
      <c r="G43" t="s">
        <v>290</v>
      </c>
      <c r="H43" t="s">
        <v>291</v>
      </c>
      <c r="I43" t="s">
        <v>119</v>
      </c>
      <c r="J43">
        <v>9.5</v>
      </c>
    </row>
    <row r="44" spans="1:10" x14ac:dyDescent="0.2">
      <c r="A44" t="s">
        <v>292</v>
      </c>
      <c r="B44" t="s">
        <v>247</v>
      </c>
      <c r="C44" t="s">
        <v>248</v>
      </c>
      <c r="D44">
        <v>100000</v>
      </c>
      <c r="E44">
        <v>4</v>
      </c>
      <c r="F44" t="s">
        <v>293</v>
      </c>
      <c r="G44" t="s">
        <v>294</v>
      </c>
      <c r="H44" t="s">
        <v>295</v>
      </c>
      <c r="I44" t="s">
        <v>119</v>
      </c>
      <c r="J44">
        <v>11.3</v>
      </c>
    </row>
    <row r="45" spans="1:10" x14ac:dyDescent="0.2">
      <c r="A45" t="s">
        <v>296</v>
      </c>
      <c r="B45" t="s">
        <v>247</v>
      </c>
      <c r="C45" t="s">
        <v>248</v>
      </c>
      <c r="D45">
        <v>100000</v>
      </c>
      <c r="E45">
        <v>4</v>
      </c>
      <c r="F45" t="s">
        <v>297</v>
      </c>
      <c r="G45" t="s">
        <v>298</v>
      </c>
      <c r="H45" t="s">
        <v>299</v>
      </c>
      <c r="I45" t="s">
        <v>119</v>
      </c>
      <c r="J45">
        <v>8.6999999999999993</v>
      </c>
    </row>
    <row r="46" spans="1:10" x14ac:dyDescent="0.2">
      <c r="A46" t="s">
        <v>300</v>
      </c>
      <c r="B46" t="s">
        <v>247</v>
      </c>
      <c r="C46" t="s">
        <v>248</v>
      </c>
      <c r="D46">
        <v>1000</v>
      </c>
      <c r="E46">
        <v>4</v>
      </c>
      <c r="F46" t="s">
        <v>301</v>
      </c>
      <c r="G46" t="s">
        <v>302</v>
      </c>
      <c r="H46" t="s">
        <v>303</v>
      </c>
      <c r="I46" t="s">
        <v>119</v>
      </c>
      <c r="J46">
        <v>10.4</v>
      </c>
    </row>
    <row r="47" spans="1:10" x14ac:dyDescent="0.2">
      <c r="A47" t="s">
        <v>304</v>
      </c>
      <c r="B47" t="s">
        <v>247</v>
      </c>
      <c r="C47" t="s">
        <v>248</v>
      </c>
      <c r="D47">
        <v>1000</v>
      </c>
      <c r="E47">
        <v>4</v>
      </c>
      <c r="F47" t="s">
        <v>305</v>
      </c>
      <c r="G47" t="s">
        <v>306</v>
      </c>
      <c r="H47" t="s">
        <v>307</v>
      </c>
      <c r="I47" t="s">
        <v>119</v>
      </c>
      <c r="J47">
        <v>10.199999999999999</v>
      </c>
    </row>
    <row r="48" spans="1:10" x14ac:dyDescent="0.2">
      <c r="A48" t="s">
        <v>308</v>
      </c>
      <c r="B48" t="s">
        <v>247</v>
      </c>
      <c r="C48" t="s">
        <v>248</v>
      </c>
      <c r="D48">
        <v>100</v>
      </c>
      <c r="E48">
        <v>4</v>
      </c>
      <c r="F48" t="s">
        <v>309</v>
      </c>
      <c r="G48" t="s">
        <v>310</v>
      </c>
      <c r="H48" t="s">
        <v>311</v>
      </c>
      <c r="I48" t="s">
        <v>119</v>
      </c>
      <c r="J48">
        <v>10.4</v>
      </c>
    </row>
    <row r="49" spans="1:10" x14ac:dyDescent="0.2">
      <c r="A49" t="s">
        <v>312</v>
      </c>
      <c r="B49" t="s">
        <v>247</v>
      </c>
      <c r="C49" t="s">
        <v>248</v>
      </c>
      <c r="D49">
        <v>100</v>
      </c>
      <c r="E49">
        <v>4</v>
      </c>
      <c r="F49" t="s">
        <v>313</v>
      </c>
      <c r="G49" t="s">
        <v>314</v>
      </c>
      <c r="H49" t="s">
        <v>315</v>
      </c>
      <c r="I49" t="s">
        <v>119</v>
      </c>
      <c r="J49">
        <v>10.5</v>
      </c>
    </row>
    <row r="50" spans="1:10" x14ac:dyDescent="0.2">
      <c r="A50" t="s">
        <v>316</v>
      </c>
      <c r="B50" t="s">
        <v>247</v>
      </c>
      <c r="C50" t="s">
        <v>248</v>
      </c>
      <c r="D50">
        <v>100</v>
      </c>
      <c r="E50">
        <v>4</v>
      </c>
      <c r="F50" t="s">
        <v>317</v>
      </c>
      <c r="G50" t="s">
        <v>318</v>
      </c>
      <c r="H50" t="s">
        <v>319</v>
      </c>
      <c r="I50" t="s">
        <v>119</v>
      </c>
      <c r="J50">
        <v>10</v>
      </c>
    </row>
    <row r="51" spans="1:10" x14ac:dyDescent="0.2">
      <c r="A51" t="s">
        <v>320</v>
      </c>
      <c r="B51" t="s">
        <v>247</v>
      </c>
      <c r="C51" t="s">
        <v>248</v>
      </c>
      <c r="D51">
        <v>100000</v>
      </c>
      <c r="E51">
        <v>4</v>
      </c>
      <c r="F51" t="s">
        <v>321</v>
      </c>
      <c r="G51" t="s">
        <v>322</v>
      </c>
      <c r="H51" t="s">
        <v>323</v>
      </c>
      <c r="I51" t="s">
        <v>119</v>
      </c>
      <c r="J51">
        <v>8.6</v>
      </c>
    </row>
    <row r="52" spans="1:10" x14ac:dyDescent="0.2">
      <c r="A52" t="s">
        <v>324</v>
      </c>
      <c r="B52" t="s">
        <v>247</v>
      </c>
      <c r="C52" t="s">
        <v>248</v>
      </c>
      <c r="D52">
        <v>100000</v>
      </c>
      <c r="E52">
        <v>4</v>
      </c>
      <c r="F52" t="s">
        <v>325</v>
      </c>
      <c r="G52" t="s">
        <v>326</v>
      </c>
      <c r="H52" t="s">
        <v>327</v>
      </c>
      <c r="I52" t="s">
        <v>119</v>
      </c>
      <c r="J52">
        <v>9.6999999999999993</v>
      </c>
    </row>
    <row r="53" spans="1:10" x14ac:dyDescent="0.2">
      <c r="A53" t="s">
        <v>328</v>
      </c>
      <c r="B53" t="s">
        <v>247</v>
      </c>
      <c r="C53" t="s">
        <v>248</v>
      </c>
      <c r="D53">
        <v>100000</v>
      </c>
      <c r="E53">
        <v>4</v>
      </c>
      <c r="F53" t="s">
        <v>329</v>
      </c>
      <c r="G53" t="s">
        <v>330</v>
      </c>
      <c r="H53" t="s">
        <v>331</v>
      </c>
      <c r="I53" t="s">
        <v>119</v>
      </c>
      <c r="J53">
        <v>10.9</v>
      </c>
    </row>
    <row r="54" spans="1:10" x14ac:dyDescent="0.2">
      <c r="A54" t="s">
        <v>332</v>
      </c>
      <c r="B54" t="s">
        <v>247</v>
      </c>
      <c r="C54" t="s">
        <v>248</v>
      </c>
      <c r="D54">
        <v>10000</v>
      </c>
      <c r="E54">
        <v>4</v>
      </c>
      <c r="F54" t="s">
        <v>333</v>
      </c>
      <c r="G54" t="s">
        <v>334</v>
      </c>
      <c r="H54" t="s">
        <v>335</v>
      </c>
      <c r="I54" t="s">
        <v>119</v>
      </c>
      <c r="J54">
        <v>9.6</v>
      </c>
    </row>
    <row r="55" spans="1:10" x14ac:dyDescent="0.2">
      <c r="A55" t="s">
        <v>336</v>
      </c>
      <c r="B55" t="s">
        <v>337</v>
      </c>
      <c r="C55" t="s">
        <v>337</v>
      </c>
      <c r="D55" t="s">
        <v>337</v>
      </c>
      <c r="E55">
        <v>4</v>
      </c>
      <c r="F55" t="s">
        <v>338</v>
      </c>
      <c r="G55" t="s">
        <v>339</v>
      </c>
      <c r="H55" t="s">
        <v>340</v>
      </c>
      <c r="I55" t="s">
        <v>248</v>
      </c>
      <c r="J55" t="s">
        <v>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8532-6CF9-BD46-BFB1-E8308313F5FD}">
  <dimension ref="A1:G17"/>
  <sheetViews>
    <sheetView workbookViewId="0">
      <selection activeCell="F3" sqref="F3:G5"/>
    </sheetView>
  </sheetViews>
  <sheetFormatPr baseColWidth="10" defaultRowHeight="16" x14ac:dyDescent="0.2"/>
  <sheetData>
    <row r="1" spans="1:7" ht="18" customHeight="1" x14ac:dyDescent="0.2">
      <c r="A1" s="1" t="s">
        <v>0</v>
      </c>
      <c r="B1" s="1" t="s">
        <v>1</v>
      </c>
      <c r="C1" s="1" t="s">
        <v>102</v>
      </c>
      <c r="D1" s="1" t="s">
        <v>103</v>
      </c>
      <c r="E1" s="1" t="s">
        <v>2</v>
      </c>
    </row>
    <row r="2" spans="1:7" x14ac:dyDescent="0.2">
      <c r="A2" s="2" t="s">
        <v>3</v>
      </c>
      <c r="B2" s="2" t="s">
        <v>4</v>
      </c>
      <c r="C2" s="5">
        <v>1000000</v>
      </c>
      <c r="D2">
        <f>LOG(C2)</f>
        <v>6</v>
      </c>
      <c r="E2" s="3">
        <v>19.723320170285302</v>
      </c>
    </row>
    <row r="3" spans="1:7" x14ac:dyDescent="0.2">
      <c r="A3" s="2" t="s">
        <v>5</v>
      </c>
      <c r="B3" s="2" t="s">
        <v>4</v>
      </c>
      <c r="C3" s="5">
        <v>1000000</v>
      </c>
      <c r="D3">
        <f t="shared" ref="D3:D13" si="0">LOG(C3)</f>
        <v>6</v>
      </c>
      <c r="E3" s="3">
        <v>19.059905074284799</v>
      </c>
      <c r="F3" t="s">
        <v>104</v>
      </c>
      <c r="G3">
        <f>RSQ(E2:E15,D2:D15)</f>
        <v>0.99105048980638055</v>
      </c>
    </row>
    <row r="4" spans="1:7" x14ac:dyDescent="0.2">
      <c r="A4" s="2" t="s">
        <v>17</v>
      </c>
      <c r="B4" s="2" t="s">
        <v>4</v>
      </c>
      <c r="C4" s="4">
        <v>100000</v>
      </c>
      <c r="D4">
        <f t="shared" si="0"/>
        <v>5</v>
      </c>
      <c r="E4" s="3">
        <v>23.152576942244</v>
      </c>
      <c r="F4" t="s">
        <v>105</v>
      </c>
      <c r="G4">
        <f>SLOPE(E2:E15,D2:D15)</f>
        <v>-3.4318102000158093</v>
      </c>
    </row>
    <row r="5" spans="1:7" x14ac:dyDescent="0.2">
      <c r="A5" s="2" t="s">
        <v>18</v>
      </c>
      <c r="B5" s="2" t="s">
        <v>4</v>
      </c>
      <c r="C5" s="4">
        <v>100000</v>
      </c>
      <c r="D5">
        <f t="shared" si="0"/>
        <v>5</v>
      </c>
      <c r="E5" s="3">
        <v>23.210167992635899</v>
      </c>
      <c r="F5" t="s">
        <v>106</v>
      </c>
      <c r="G5">
        <f>INTERCEPT(E2:E15,D2:D15)</f>
        <v>40.582565408602498</v>
      </c>
    </row>
    <row r="6" spans="1:7" x14ac:dyDescent="0.2">
      <c r="A6" s="2" t="s">
        <v>29</v>
      </c>
      <c r="B6" s="2" t="s">
        <v>4</v>
      </c>
      <c r="C6" s="4">
        <v>10000</v>
      </c>
      <c r="D6">
        <f t="shared" si="0"/>
        <v>4</v>
      </c>
      <c r="E6" s="3">
        <v>27.376013832825301</v>
      </c>
    </row>
    <row r="7" spans="1:7" x14ac:dyDescent="0.2">
      <c r="A7" s="2" t="s">
        <v>30</v>
      </c>
      <c r="B7" s="2" t="s">
        <v>4</v>
      </c>
      <c r="C7" s="4">
        <v>10000</v>
      </c>
      <c r="D7">
        <f t="shared" si="0"/>
        <v>4</v>
      </c>
      <c r="E7" s="3">
        <v>27.536038691582501</v>
      </c>
    </row>
    <row r="8" spans="1:7" x14ac:dyDescent="0.2">
      <c r="A8" s="2" t="s">
        <v>41</v>
      </c>
      <c r="B8" s="2" t="s">
        <v>4</v>
      </c>
      <c r="C8" s="4">
        <v>1000</v>
      </c>
      <c r="D8">
        <f t="shared" si="0"/>
        <v>3</v>
      </c>
      <c r="E8" s="3">
        <v>30.381180154160599</v>
      </c>
    </row>
    <row r="9" spans="1:7" x14ac:dyDescent="0.2">
      <c r="A9" s="2" t="s">
        <v>42</v>
      </c>
      <c r="B9" s="2" t="s">
        <v>4</v>
      </c>
      <c r="C9" s="4">
        <v>1000</v>
      </c>
      <c r="D9">
        <f t="shared" si="0"/>
        <v>3</v>
      </c>
      <c r="E9" s="3">
        <v>30.5760666936681</v>
      </c>
    </row>
    <row r="10" spans="1:7" x14ac:dyDescent="0.2">
      <c r="A10" s="2" t="s">
        <v>53</v>
      </c>
      <c r="B10" s="2" t="s">
        <v>4</v>
      </c>
      <c r="C10" s="4">
        <v>100</v>
      </c>
      <c r="D10">
        <f t="shared" si="0"/>
        <v>2</v>
      </c>
      <c r="E10" s="3">
        <v>34.183279776909799</v>
      </c>
    </row>
    <row r="11" spans="1:7" x14ac:dyDescent="0.2">
      <c r="A11" s="2" t="s">
        <v>54</v>
      </c>
      <c r="B11" s="2" t="s">
        <v>4</v>
      </c>
      <c r="C11" s="4">
        <v>100</v>
      </c>
      <c r="D11">
        <f t="shared" si="0"/>
        <v>2</v>
      </c>
      <c r="E11" s="3">
        <v>34.6215598300195</v>
      </c>
    </row>
    <row r="12" spans="1:7" x14ac:dyDescent="0.2">
      <c r="A12" s="2" t="s">
        <v>65</v>
      </c>
      <c r="B12" s="2" t="s">
        <v>4</v>
      </c>
      <c r="C12" s="4">
        <v>10</v>
      </c>
      <c r="D12">
        <f t="shared" si="0"/>
        <v>1</v>
      </c>
      <c r="E12" s="3">
        <v>37.318591254441003</v>
      </c>
    </row>
    <row r="13" spans="1:7" x14ac:dyDescent="0.2">
      <c r="A13" s="2" t="s">
        <v>66</v>
      </c>
      <c r="B13" s="2" t="s">
        <v>4</v>
      </c>
      <c r="C13" s="4">
        <v>10</v>
      </c>
      <c r="D13">
        <f t="shared" si="0"/>
        <v>1</v>
      </c>
      <c r="E13" s="3">
        <v>37.916993507190703</v>
      </c>
    </row>
    <row r="14" spans="1:7" x14ac:dyDescent="0.2">
      <c r="A14" s="2" t="s">
        <v>77</v>
      </c>
      <c r="B14" s="2" t="s">
        <v>4</v>
      </c>
      <c r="C14" s="4">
        <v>0</v>
      </c>
      <c r="D14">
        <v>0</v>
      </c>
      <c r="E14" s="3">
        <v>39.4498478846537</v>
      </c>
    </row>
    <row r="15" spans="1:7" x14ac:dyDescent="0.2">
      <c r="A15" s="2" t="s">
        <v>78</v>
      </c>
      <c r="B15" s="2" t="s">
        <v>4</v>
      </c>
      <c r="C15" s="4">
        <v>0</v>
      </c>
      <c r="D15">
        <v>0</v>
      </c>
      <c r="E15" s="3">
        <v>39.514345514869802</v>
      </c>
    </row>
    <row r="16" spans="1:7" x14ac:dyDescent="0.2">
      <c r="A16" s="2" t="s">
        <v>89</v>
      </c>
      <c r="B16" s="2" t="s">
        <v>90</v>
      </c>
    </row>
    <row r="17" spans="1:2" x14ac:dyDescent="0.2">
      <c r="A17" s="2" t="s">
        <v>91</v>
      </c>
      <c r="B17" s="2" t="s">
        <v>90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map</vt:lpstr>
      <vt:lpstr>Sheet2</vt:lpstr>
      <vt:lpstr>std_curve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 Kearns</dc:creator>
  <cp:lastModifiedBy>Kearns, Patrick</cp:lastModifiedBy>
  <dcterms:created xsi:type="dcterms:W3CDTF">2025-05-30T18:07:49Z</dcterms:created>
  <dcterms:modified xsi:type="dcterms:W3CDTF">2026-10-08T14:15:07Z</dcterms:modified>
</cp:coreProperties>
</file>